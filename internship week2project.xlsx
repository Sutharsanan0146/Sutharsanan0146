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tha\Downloads\"/>
    </mc:Choice>
  </mc:AlternateContent>
  <xr:revisionPtr revIDLastSave="0" documentId="13_ncr:1_{68A3894D-6CDD-4D41-80B9-C6296E4E9505}" xr6:coauthVersionLast="47" xr6:coauthVersionMax="47" xr10:uidLastSave="{00000000-0000-0000-0000-000000000000}"/>
  <bookViews>
    <workbookView xWindow="-110" yWindow="-110" windowWidth="19420" windowHeight="10300" firstSheet="1" activeTab="1" xr2:uid="{DC39879A-EA94-4172-8218-E4DC58986BE5}"/>
  </bookViews>
  <sheets>
    <sheet name="Distance Related" sheetId="2" state="hidden" r:id="rId1"/>
    <sheet name="Sheet1" sheetId="3" r:id="rId2"/>
    <sheet name="sum of distance by area" sheetId="7" r:id="rId3"/>
    <sheet name="count of each distance type" sheetId="11" r:id="rId4"/>
    <sheet name="sum of duration per vehicle" sheetId="13" r:id="rId5"/>
    <sheet name="sum of distance in miles" sheetId="14" r:id="rId6"/>
    <sheet name="average speed per vehicle" sheetId="16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3" l="1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7" i="3"/>
  <c r="J7" i="3"/>
  <c r="P9" i="3"/>
  <c r="P8" i="3"/>
  <c r="P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7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</calcChain>
</file>

<file path=xl/sharedStrings.xml><?xml version="1.0" encoding="utf-8"?>
<sst xmlns="http://schemas.openxmlformats.org/spreadsheetml/2006/main" count="219" uniqueCount="53">
  <si>
    <t>Source City</t>
  </si>
  <si>
    <t>Source Latitude</t>
  </si>
  <si>
    <t>Source Longitude</t>
  </si>
  <si>
    <t>Destination City</t>
  </si>
  <si>
    <t>Destination Latitude</t>
  </si>
  <si>
    <t>Destination Longitude</t>
  </si>
  <si>
    <t>Distance (km)</t>
  </si>
  <si>
    <t>Distance (miles)</t>
  </si>
  <si>
    <t>Travel Mode</t>
  </si>
  <si>
    <t>Duration (hours)</t>
  </si>
  <si>
    <t>New York</t>
  </si>
  <si>
    <t>Los Angeles</t>
  </si>
  <si>
    <t>San Francisco</t>
  </si>
  <si>
    <t>Seattle</t>
  </si>
  <si>
    <t>Chicago</t>
  </si>
  <si>
    <t>Miami</t>
  </si>
  <si>
    <t>Train</t>
  </si>
  <si>
    <t>Boston</t>
  </si>
  <si>
    <t>Washington D.C.</t>
  </si>
  <si>
    <t>Bus</t>
  </si>
  <si>
    <t>Houston</t>
  </si>
  <si>
    <t>Denver</t>
  </si>
  <si>
    <t>Las Vegas</t>
  </si>
  <si>
    <t>Grand Canyon</t>
  </si>
  <si>
    <t>Atlanta</t>
  </si>
  <si>
    <t>Nashville</t>
  </si>
  <si>
    <t>Dallas</t>
  </si>
  <si>
    <t>New Orleans</t>
  </si>
  <si>
    <t>San Diego</t>
  </si>
  <si>
    <t>Phoenix</t>
  </si>
  <si>
    <t>Portland</t>
  </si>
  <si>
    <t>Vancouver</t>
  </si>
  <si>
    <t>Travel Destination Distance Sample Data</t>
  </si>
  <si>
    <t>Excel Sample Data</t>
  </si>
  <si>
    <t>Distance Type</t>
  </si>
  <si>
    <t>Avearage Speed</t>
  </si>
  <si>
    <t>Sum of Distance (km)</t>
  </si>
  <si>
    <t>Sum of Avearage Speed</t>
  </si>
  <si>
    <t>Row Labels</t>
  </si>
  <si>
    <t>far</t>
  </si>
  <si>
    <t>long</t>
  </si>
  <si>
    <t>short</t>
  </si>
  <si>
    <t>toolong</t>
  </si>
  <si>
    <t>Grand Total</t>
  </si>
  <si>
    <t>car</t>
  </si>
  <si>
    <t>Bike</t>
  </si>
  <si>
    <t>Bullet train</t>
  </si>
  <si>
    <t>Sum of Distance (miles)</t>
  </si>
  <si>
    <t>Sum of Duration (hours)</t>
  </si>
  <si>
    <t>Count of Source City</t>
  </si>
  <si>
    <t>TOTALDISTANCE</t>
  </si>
  <si>
    <t>TOTALHOURS</t>
  </si>
  <si>
    <t>TOTALMILES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</si>
</sst>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u/>
      <sz val="14"/>
      <color rgb="FF272760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Continuous" vertical="center"/>
    </xf>
    <xf numFmtId="0" fontId="2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week2project.xlsx]sum of distance by area!PivotTable3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'sum of distance by area'!$B$3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DC-42A4-896E-69E65F9185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ADC-42A4-896E-69E65F9185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ADC-42A4-896E-69E65F9185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ADC-42A4-896E-69E65F9185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ADC-42A4-896E-69E65F9185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ADC-42A4-896E-69E65F9185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ADC-42A4-896E-69E65F9185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ADC-42A4-896E-69E65F9185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ADC-42A4-896E-69E65F91857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ADC-42A4-896E-69E65F91857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ADC-42A4-896E-69E65F91857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ADC-42A4-896E-69E65F91857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2ADC-42A4-896E-69E65F91857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2ADC-42A4-896E-69E65F91857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2ADC-42A4-896E-69E65F91857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2ADC-42A4-896E-69E65F91857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2ADC-42A4-896E-69E65F91857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2ADC-42A4-896E-69E65F91857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2ADC-42A4-896E-69E65F91857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2ADC-42A4-896E-69E65F918571}"/>
              </c:ext>
            </c:extLst>
          </c:dPt>
          <c:cat>
            <c:strRef>
              <c:f>'sum of distance by area'!$A$4:$A$24</c:f>
              <c:strCache>
                <c:ptCount val="20"/>
                <c:pt idx="0">
                  <c:v>Atlanta</c:v>
                </c:pt>
                <c:pt idx="1">
                  <c:v>Boston</c:v>
                </c:pt>
                <c:pt idx="2">
                  <c:v>Chicago</c:v>
                </c:pt>
                <c:pt idx="3">
                  <c:v>Dallas</c:v>
                </c:pt>
                <c:pt idx="4">
                  <c:v>Denver</c:v>
                </c:pt>
                <c:pt idx="5">
                  <c:v>Grand Canyon</c:v>
                </c:pt>
                <c:pt idx="6">
                  <c:v>Houston</c:v>
                </c:pt>
                <c:pt idx="7">
                  <c:v>Las Vegas</c:v>
                </c:pt>
                <c:pt idx="8">
                  <c:v>Los Angeles</c:v>
                </c:pt>
                <c:pt idx="9">
                  <c:v>Miami</c:v>
                </c:pt>
                <c:pt idx="10">
                  <c:v>Nashville</c:v>
                </c:pt>
                <c:pt idx="11">
                  <c:v>New Orleans</c:v>
                </c:pt>
                <c:pt idx="12">
                  <c:v>New York</c:v>
                </c:pt>
                <c:pt idx="13">
                  <c:v>Phoenix</c:v>
                </c:pt>
                <c:pt idx="14">
                  <c:v>Portland</c:v>
                </c:pt>
                <c:pt idx="15">
                  <c:v>San Diego</c:v>
                </c:pt>
                <c:pt idx="16">
                  <c:v>San Francisco</c:v>
                </c:pt>
                <c:pt idx="17">
                  <c:v>Seattle</c:v>
                </c:pt>
                <c:pt idx="18">
                  <c:v>Vancouver</c:v>
                </c:pt>
                <c:pt idx="19">
                  <c:v>Washington D.C.</c:v>
                </c:pt>
              </c:strCache>
            </c:strRef>
          </c:cat>
          <c:val>
            <c:numRef>
              <c:f>'sum of distance by area'!$B$4:$B$24</c:f>
              <c:numCache>
                <c:formatCode>General</c:formatCode>
                <c:ptCount val="20"/>
                <c:pt idx="0">
                  <c:v>379</c:v>
                </c:pt>
                <c:pt idx="1">
                  <c:v>725</c:v>
                </c:pt>
                <c:pt idx="2">
                  <c:v>2018</c:v>
                </c:pt>
                <c:pt idx="3">
                  <c:v>1422</c:v>
                </c:pt>
                <c:pt idx="4">
                  <c:v>3063</c:v>
                </c:pt>
                <c:pt idx="5">
                  <c:v>878</c:v>
                </c:pt>
                <c:pt idx="6">
                  <c:v>1420</c:v>
                </c:pt>
                <c:pt idx="7">
                  <c:v>439</c:v>
                </c:pt>
                <c:pt idx="8">
                  <c:v>3949</c:v>
                </c:pt>
                <c:pt idx="9">
                  <c:v>3772</c:v>
                </c:pt>
                <c:pt idx="10">
                  <c:v>758</c:v>
                </c:pt>
                <c:pt idx="11">
                  <c:v>711</c:v>
                </c:pt>
                <c:pt idx="12">
                  <c:v>3949</c:v>
                </c:pt>
                <c:pt idx="13">
                  <c:v>502</c:v>
                </c:pt>
                <c:pt idx="14">
                  <c:v>1020</c:v>
                </c:pt>
                <c:pt idx="15">
                  <c:v>1004</c:v>
                </c:pt>
                <c:pt idx="16">
                  <c:v>1922</c:v>
                </c:pt>
                <c:pt idx="17">
                  <c:v>1586</c:v>
                </c:pt>
                <c:pt idx="18">
                  <c:v>510</c:v>
                </c:pt>
                <c:pt idx="19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4-4974-8AC7-0EEB9E4D8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week2project.xlsx]count of each distance type!PivotTable6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914260717410318E-2"/>
          <c:y val="0.2401367016622922"/>
          <c:w val="0.78883092738407701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'count of each distance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 of each distance type'!$A$4:$A$8</c:f>
              <c:strCache>
                <c:ptCount val="4"/>
                <c:pt idx="0">
                  <c:v>far</c:v>
                </c:pt>
                <c:pt idx="1">
                  <c:v>long</c:v>
                </c:pt>
                <c:pt idx="2">
                  <c:v>short</c:v>
                </c:pt>
                <c:pt idx="3">
                  <c:v>toolong</c:v>
                </c:pt>
              </c:strCache>
            </c:strRef>
          </c:cat>
          <c:val>
            <c:numRef>
              <c:f>'count of each distance type'!$B$4:$B$8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20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9-44F2-8C50-2B7963AB0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965136"/>
        <c:axId val="1207968016"/>
      </c:barChart>
      <c:catAx>
        <c:axId val="120796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968016"/>
        <c:crosses val="autoZero"/>
        <c:auto val="1"/>
        <c:lblAlgn val="ctr"/>
        <c:lblOffset val="100"/>
        <c:noMultiLvlLbl val="0"/>
      </c:catAx>
      <c:valAx>
        <c:axId val="120796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96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week2project.xlsx]sum of duration per vehicle!PivotTable7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 of duration per vehicle'!$B$3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'sum of duration per vehicle'!$A$4:$A$9</c:f>
              <c:strCache>
                <c:ptCount val="5"/>
                <c:pt idx="0">
                  <c:v>Bike</c:v>
                </c:pt>
                <c:pt idx="1">
                  <c:v>Bullet train</c:v>
                </c:pt>
                <c:pt idx="2">
                  <c:v>Bus</c:v>
                </c:pt>
                <c:pt idx="3">
                  <c:v>car</c:v>
                </c:pt>
                <c:pt idx="4">
                  <c:v>Train</c:v>
                </c:pt>
              </c:strCache>
            </c:strRef>
          </c:cat>
          <c:val>
            <c:numRef>
              <c:f>'sum of duration per vehicle'!$B$4:$B$9</c:f>
              <c:numCache>
                <c:formatCode>General</c:formatCode>
                <c:ptCount val="5"/>
                <c:pt idx="0">
                  <c:v>32.5</c:v>
                </c:pt>
                <c:pt idx="1">
                  <c:v>11</c:v>
                </c:pt>
                <c:pt idx="2">
                  <c:v>105.5</c:v>
                </c:pt>
                <c:pt idx="3">
                  <c:v>52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B-43E1-8E57-77150CBBD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146272"/>
        <c:axId val="1196137152"/>
      </c:lineChart>
      <c:catAx>
        <c:axId val="119614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37152"/>
        <c:crosses val="autoZero"/>
        <c:auto val="1"/>
        <c:lblAlgn val="ctr"/>
        <c:lblOffset val="100"/>
        <c:noMultiLvlLbl val="0"/>
      </c:catAx>
      <c:valAx>
        <c:axId val="119613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4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week2project.xlsx]sum of distance in miles!PivotTable8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distance in miles'!$B$3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distance in miles'!$A$4:$A$24</c:f>
              <c:strCache>
                <c:ptCount val="20"/>
                <c:pt idx="0">
                  <c:v>Atlanta</c:v>
                </c:pt>
                <c:pt idx="1">
                  <c:v>Boston</c:v>
                </c:pt>
                <c:pt idx="2">
                  <c:v>Chicago</c:v>
                </c:pt>
                <c:pt idx="3">
                  <c:v>Dallas</c:v>
                </c:pt>
                <c:pt idx="4">
                  <c:v>Denver</c:v>
                </c:pt>
                <c:pt idx="5">
                  <c:v>Grand Canyon</c:v>
                </c:pt>
                <c:pt idx="6">
                  <c:v>Houston</c:v>
                </c:pt>
                <c:pt idx="7">
                  <c:v>Las Vegas</c:v>
                </c:pt>
                <c:pt idx="8">
                  <c:v>Los Angeles</c:v>
                </c:pt>
                <c:pt idx="9">
                  <c:v>Miami</c:v>
                </c:pt>
                <c:pt idx="10">
                  <c:v>Nashville</c:v>
                </c:pt>
                <c:pt idx="11">
                  <c:v>New Orleans</c:v>
                </c:pt>
                <c:pt idx="12">
                  <c:v>New York</c:v>
                </c:pt>
                <c:pt idx="13">
                  <c:v>Phoenix</c:v>
                </c:pt>
                <c:pt idx="14">
                  <c:v>Portland</c:v>
                </c:pt>
                <c:pt idx="15">
                  <c:v>San Diego</c:v>
                </c:pt>
                <c:pt idx="16">
                  <c:v>San Francisco</c:v>
                </c:pt>
                <c:pt idx="17">
                  <c:v>Seattle</c:v>
                </c:pt>
                <c:pt idx="18">
                  <c:v>Vancouver</c:v>
                </c:pt>
                <c:pt idx="19">
                  <c:v>Washington D.C.</c:v>
                </c:pt>
              </c:strCache>
            </c:strRef>
          </c:cat>
          <c:val>
            <c:numRef>
              <c:f>'sum of distance in miles'!$B$4:$B$24</c:f>
              <c:numCache>
                <c:formatCode>General</c:formatCode>
                <c:ptCount val="20"/>
                <c:pt idx="0">
                  <c:v>236</c:v>
                </c:pt>
                <c:pt idx="1">
                  <c:v>450</c:v>
                </c:pt>
                <c:pt idx="2">
                  <c:v>1255</c:v>
                </c:pt>
                <c:pt idx="3">
                  <c:v>884</c:v>
                </c:pt>
                <c:pt idx="4">
                  <c:v>1903</c:v>
                </c:pt>
                <c:pt idx="5">
                  <c:v>546</c:v>
                </c:pt>
                <c:pt idx="6">
                  <c:v>882</c:v>
                </c:pt>
                <c:pt idx="7">
                  <c:v>273</c:v>
                </c:pt>
                <c:pt idx="8">
                  <c:v>2454</c:v>
                </c:pt>
                <c:pt idx="9">
                  <c:v>2346</c:v>
                </c:pt>
                <c:pt idx="10">
                  <c:v>472</c:v>
                </c:pt>
                <c:pt idx="11">
                  <c:v>442</c:v>
                </c:pt>
                <c:pt idx="12">
                  <c:v>2454</c:v>
                </c:pt>
                <c:pt idx="13">
                  <c:v>312</c:v>
                </c:pt>
                <c:pt idx="14">
                  <c:v>634</c:v>
                </c:pt>
                <c:pt idx="15">
                  <c:v>624</c:v>
                </c:pt>
                <c:pt idx="16">
                  <c:v>1195</c:v>
                </c:pt>
                <c:pt idx="17">
                  <c:v>986</c:v>
                </c:pt>
                <c:pt idx="18">
                  <c:v>317</c:v>
                </c:pt>
                <c:pt idx="19">
                  <c:v>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F-4976-BF43-258FE5BAA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184144"/>
        <c:axId val="1166186544"/>
      </c:barChart>
      <c:catAx>
        <c:axId val="116618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186544"/>
        <c:crosses val="autoZero"/>
        <c:auto val="1"/>
        <c:lblAlgn val="ctr"/>
        <c:lblOffset val="100"/>
        <c:noMultiLvlLbl val="0"/>
      </c:catAx>
      <c:valAx>
        <c:axId val="116618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18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week2project.xlsx]average speed per vehicle!PivotTable9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'average speed per vehicle'!$B$3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8E-4664-BB6F-BF127DEE9F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8E-4664-BB6F-BF127DEE9F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8E-4664-BB6F-BF127DEE9F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8E-4664-BB6F-BF127DEE9F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8E-4664-BB6F-BF127DEE9FBB}"/>
              </c:ext>
            </c:extLst>
          </c:dPt>
          <c:cat>
            <c:strRef>
              <c:f>'average speed per vehicle'!$A$4:$A$9</c:f>
              <c:strCache>
                <c:ptCount val="5"/>
                <c:pt idx="0">
                  <c:v>Bike</c:v>
                </c:pt>
                <c:pt idx="1">
                  <c:v>Bullet train</c:v>
                </c:pt>
                <c:pt idx="2">
                  <c:v>Bus</c:v>
                </c:pt>
                <c:pt idx="3">
                  <c:v>car</c:v>
                </c:pt>
                <c:pt idx="4">
                  <c:v>Train</c:v>
                </c:pt>
              </c:strCache>
            </c:strRef>
          </c:cat>
          <c:val>
            <c:numRef>
              <c:f>'average speed per vehicle'!$B$4:$B$9</c:f>
              <c:numCache>
                <c:formatCode>General</c:formatCode>
                <c:ptCount val="5"/>
                <c:pt idx="0">
                  <c:v>589</c:v>
                </c:pt>
                <c:pt idx="1">
                  <c:v>1436</c:v>
                </c:pt>
                <c:pt idx="2">
                  <c:v>1311</c:v>
                </c:pt>
                <c:pt idx="3">
                  <c:v>1990</c:v>
                </c:pt>
                <c:pt idx="4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E-40E6-869A-6243BDFB0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379133</xdr:colOff>
      <xdr:row>4</xdr:row>
      <xdr:rowOff>25578</xdr:rowOff>
    </xdr:from>
    <xdr:to>
      <xdr:col>13</xdr:col>
      <xdr:colOff>338206</xdr:colOff>
      <xdr:row>20</xdr:row>
      <xdr:rowOff>55217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697A67-E9D6-438B-3655-4E6ACB038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165100</xdr:rowOff>
    </xdr:from>
    <xdr:to>
      <xdr:col>13</xdr:col>
      <xdr:colOff>260350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1FCF1-5DB6-9567-4C70-47738A934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139700</xdr:colOff>
      <xdr:row>1</xdr:row>
      <xdr:rowOff>101600</xdr:rowOff>
    </xdr:from>
    <xdr:to>
      <xdr:col>13</xdr:col>
      <xdr:colOff>387350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28CB1A-C942-E50B-8CEC-93F3E2A17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366059</xdr:colOff>
      <xdr:row>3</xdr:row>
      <xdr:rowOff>179294</xdr:rowOff>
    </xdr:from>
    <xdr:to>
      <xdr:col>15</xdr:col>
      <xdr:colOff>537882</xdr:colOff>
      <xdr:row>24</xdr:row>
      <xdr:rowOff>119529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57AE7B-8DFB-450F-146C-A840AF810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146050</xdr:rowOff>
    </xdr:from>
    <xdr:to>
      <xdr:col>12</xdr:col>
      <xdr:colOff>133350</xdr:colOff>
      <xdr:row>18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86F0B3-46D8-CC46-5636-E0302F11F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ha" refreshedDate="45916.331066435188" createdVersion="8" refreshedVersion="8" minRefreshableVersion="3" recordCount="30" xr:uid="{3E36D88A-87A7-4F44-B249-65FB24A24B94}">
  <cacheSource type="worksheet">
    <worksheetSource ref="B6:M36" sheet="Sheet1"/>
  </cacheSource>
  <cacheFields count="12">
    <cacheField name="Source City" numFmtId="0">
      <sharedItems count="20">
        <s v="New York"/>
        <s v="San Francisco"/>
        <s v="Chicago"/>
        <s v="Boston"/>
        <s v="Houston"/>
        <s v="Las Vegas"/>
        <s v="Atlanta"/>
        <s v="Dallas"/>
        <s v="San Diego"/>
        <s v="Portland"/>
        <s v="Los Angeles"/>
        <s v="Seattle"/>
        <s v="Miami"/>
        <s v="Washington D.C."/>
        <s v="Denver"/>
        <s v="Grand Canyon"/>
        <s v="Nashville"/>
        <s v="New Orleans"/>
        <s v="Phoenix"/>
        <s v="Vancouver"/>
      </sharedItems>
    </cacheField>
    <cacheField name="Source Latitude" numFmtId="0">
      <sharedItems containsSemiMixedTypes="0" containsString="0" containsNumber="1" minValue="25.761700000000001" maxValue="49.282699999999998"/>
    </cacheField>
    <cacheField name="Source Longitude" numFmtId="0">
      <sharedItems containsSemiMixedTypes="0" containsString="0" containsNumber="1" minValue="-123.1207" maxValue="-71.058899999999994"/>
    </cacheField>
    <cacheField name="Destination City" numFmtId="0">
      <sharedItems count="20">
        <s v="Los Angeles"/>
        <s v="Seattle"/>
        <s v="Miami"/>
        <s v="Washington D.C."/>
        <s v="Denver"/>
        <s v="Grand Canyon"/>
        <s v="Nashville"/>
        <s v="New Orleans"/>
        <s v="Phoenix"/>
        <s v="Vancouver"/>
        <s v="New York"/>
        <s v="San Francisco"/>
        <s v="Chicago"/>
        <s v="Boston"/>
        <s v="Houston"/>
        <s v="Las Vegas"/>
        <s v="Atlanta"/>
        <s v="Dallas"/>
        <s v="San Diego"/>
        <s v="Portland"/>
      </sharedItems>
    </cacheField>
    <cacheField name="Destination Latitude" numFmtId="0">
      <sharedItems containsSemiMixedTypes="0" containsString="0" containsNumber="1" minValue="25.761700000000001" maxValue="49.282699999999998"/>
    </cacheField>
    <cacheField name="Destination Longitude" numFmtId="0">
      <sharedItems containsSemiMixedTypes="0" containsString="0" containsNumber="1" minValue="-123.1207" maxValue="-71.058899999999994"/>
    </cacheField>
    <cacheField name="Distance (km)" numFmtId="0">
      <sharedItems containsSemiMixedTypes="0" containsString="0" containsNumber="1" containsInteger="1" minValue="279" maxValue="3949"/>
    </cacheField>
    <cacheField name="Distance (miles)" numFmtId="0">
      <sharedItems containsSemiMixedTypes="0" containsString="0" containsNumber="1" containsInteger="1" minValue="173" maxValue="2454"/>
    </cacheField>
    <cacheField name="Travel Mode" numFmtId="15">
      <sharedItems count="5">
        <s v="Bullet train"/>
        <s v="car"/>
        <s v="Train"/>
        <s v="Bus"/>
        <s v="Bike"/>
      </sharedItems>
    </cacheField>
    <cacheField name="Duration (hours)" numFmtId="0">
      <sharedItems containsSemiMixedTypes="0" containsString="0" containsNumber="1" minValue="1.5" maxValue="25"/>
    </cacheField>
    <cacheField name="Distance Type" numFmtId="0">
      <sharedItems/>
    </cacheField>
    <cacheField name="Avearage Speed" numFmtId="0">
      <sharedItems containsSemiMixedTypes="0" containsString="0" containsNumber="1" containsInteger="1" minValue="51" maxValue="7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ha" refreshedDate="45916.374613888889" createdVersion="8" refreshedVersion="8" minRefreshableVersion="3" recordCount="30" xr:uid="{744A8882-8C69-481F-8C8B-67E81C8F1F01}">
  <cacheSource type="worksheet">
    <worksheetSource ref="B6:M36" sheet="Sheet1"/>
  </cacheSource>
  <cacheFields count="12">
    <cacheField name="Source City" numFmtId="0">
      <sharedItems/>
    </cacheField>
    <cacheField name="Source Latitude" numFmtId="0">
      <sharedItems containsSemiMixedTypes="0" containsString="0" containsNumber="1" minValue="25.761700000000001" maxValue="49.282699999999998"/>
    </cacheField>
    <cacheField name="Source Longitude" numFmtId="0">
      <sharedItems containsSemiMixedTypes="0" containsString="0" containsNumber="1" minValue="-123.1207" maxValue="-71.058899999999994"/>
    </cacheField>
    <cacheField name="Destination City" numFmtId="0">
      <sharedItems/>
    </cacheField>
    <cacheField name="Destination Latitude" numFmtId="0">
      <sharedItems containsSemiMixedTypes="0" containsString="0" containsNumber="1" minValue="25.761700000000001" maxValue="49.282699999999998"/>
    </cacheField>
    <cacheField name="Destination Longitude" numFmtId="0">
      <sharedItems containsSemiMixedTypes="0" containsString="0" containsNumber="1" minValue="-123.1207" maxValue="-71.058899999999994"/>
    </cacheField>
    <cacheField name="Distance (km)" numFmtId="0">
      <sharedItems containsSemiMixedTypes="0" containsString="0" containsNumber="1" containsInteger="1" minValue="279" maxValue="3949"/>
    </cacheField>
    <cacheField name="Distance (miles)" numFmtId="0">
      <sharedItems containsSemiMixedTypes="0" containsString="0" containsNumber="1" containsInteger="1" minValue="173" maxValue="2454"/>
    </cacheField>
    <cacheField name="Travel Mode" numFmtId="15">
      <sharedItems count="5">
        <s v="Bullet train"/>
        <s v="car"/>
        <s v="Train"/>
        <s v="Bus"/>
        <s v="Bike"/>
      </sharedItems>
    </cacheField>
    <cacheField name="Duration (hours)" numFmtId="0">
      <sharedItems containsSemiMixedTypes="0" containsString="0" containsNumber="1" minValue="1.5" maxValue="25"/>
    </cacheField>
    <cacheField name="Distance Type" numFmtId="0">
      <sharedItems count="4">
        <s v="toolong"/>
        <s v="far"/>
        <s v="long"/>
        <s v="short"/>
      </sharedItems>
    </cacheField>
    <cacheField name="Avearage Speed" numFmtId="0">
      <sharedItems containsSemiMixedTypes="0" containsString="0" containsNumber="1" containsInteger="1" minValue="51" maxValue="7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40.712800000000001"/>
    <n v="-74.006"/>
    <x v="0"/>
    <n v="34.052199999999999"/>
    <n v="-118.2437"/>
    <n v="3949"/>
    <n v="2454"/>
    <x v="0"/>
    <n v="5.5"/>
    <s v="toolong"/>
    <n v="718"/>
  </r>
  <r>
    <x v="1"/>
    <n v="37.774900000000002"/>
    <n v="-122.4194"/>
    <x v="1"/>
    <n v="47.606200000000001"/>
    <n v="-122.3321"/>
    <n v="1307"/>
    <n v="813"/>
    <x v="1"/>
    <n v="12"/>
    <s v="far"/>
    <n v="109"/>
  </r>
  <r>
    <x v="2"/>
    <n v="41.878100000000003"/>
    <n v="-87.629800000000003"/>
    <x v="2"/>
    <n v="25.761700000000001"/>
    <n v="-80.191800000000001"/>
    <n v="2018"/>
    <n v="1255"/>
    <x v="2"/>
    <n v="25"/>
    <s v="long"/>
    <n v="81"/>
  </r>
  <r>
    <x v="3"/>
    <n v="42.360100000000003"/>
    <n v="-71.058899999999994"/>
    <x v="3"/>
    <n v="38.907200000000003"/>
    <n v="-77.037000000000006"/>
    <n v="725"/>
    <n v="450"/>
    <x v="3"/>
    <n v="9"/>
    <s v="short"/>
    <n v="81"/>
  </r>
  <r>
    <x v="4"/>
    <n v="29.760400000000001"/>
    <n v="-95.369799999999998"/>
    <x v="4"/>
    <n v="39.739199999999997"/>
    <n v="-104.9903"/>
    <n v="1420"/>
    <n v="882"/>
    <x v="1"/>
    <n v="2.5"/>
    <s v="far"/>
    <n v="568"/>
  </r>
  <r>
    <x v="5"/>
    <n v="36.169899999999998"/>
    <n v="-115.13979999999999"/>
    <x v="5"/>
    <n v="36.106900000000003"/>
    <n v="-112.1129"/>
    <n v="439"/>
    <n v="273"/>
    <x v="4"/>
    <n v="5"/>
    <s v="short"/>
    <n v="88"/>
  </r>
  <r>
    <x v="6"/>
    <n v="33.749000000000002"/>
    <n v="-84.388000000000005"/>
    <x v="6"/>
    <n v="36.162700000000001"/>
    <n v="-86.781599999999997"/>
    <n v="379"/>
    <n v="236"/>
    <x v="4"/>
    <n v="4.5"/>
    <s v="short"/>
    <n v="85"/>
  </r>
  <r>
    <x v="7"/>
    <n v="32.776699999999998"/>
    <n v="-96.796999999999997"/>
    <x v="7"/>
    <n v="29.9511"/>
    <n v="-90.0715"/>
    <n v="711"/>
    <n v="442"/>
    <x v="3"/>
    <n v="8"/>
    <s v="short"/>
    <n v="89"/>
  </r>
  <r>
    <x v="8"/>
    <n v="32.715699999999998"/>
    <n v="-117.1611"/>
    <x v="8"/>
    <n v="33.448399999999999"/>
    <n v="-112.074"/>
    <n v="502"/>
    <n v="312"/>
    <x v="3"/>
    <n v="6"/>
    <s v="short"/>
    <n v="84"/>
  </r>
  <r>
    <x v="9"/>
    <n v="45.505099999999999"/>
    <n v="-122.675"/>
    <x v="9"/>
    <n v="49.282699999999998"/>
    <n v="-123.1207"/>
    <n v="510"/>
    <n v="317"/>
    <x v="3"/>
    <n v="10"/>
    <s v="short"/>
    <n v="51"/>
  </r>
  <r>
    <x v="10"/>
    <n v="34.052199999999999"/>
    <n v="-118.2437"/>
    <x v="10"/>
    <n v="40.712800000000001"/>
    <n v="-74.006"/>
    <n v="3949"/>
    <n v="2454"/>
    <x v="0"/>
    <n v="5.5"/>
    <s v="toolong"/>
    <n v="718"/>
  </r>
  <r>
    <x v="11"/>
    <n v="47.606200000000001"/>
    <n v="-122.3321"/>
    <x v="11"/>
    <n v="37.774900000000002"/>
    <n v="-122.4194"/>
    <n v="1307"/>
    <n v="813"/>
    <x v="1"/>
    <n v="12"/>
    <s v="far"/>
    <n v="109"/>
  </r>
  <r>
    <x v="12"/>
    <n v="25.761700000000001"/>
    <n v="-80.191800000000001"/>
    <x v="12"/>
    <n v="41.878100000000003"/>
    <n v="-87.629800000000003"/>
    <n v="2018"/>
    <n v="1255"/>
    <x v="2"/>
    <n v="25"/>
    <s v="long"/>
    <n v="81"/>
  </r>
  <r>
    <x v="13"/>
    <n v="38.907200000000003"/>
    <n v="-77.037000000000006"/>
    <x v="13"/>
    <n v="42.360100000000003"/>
    <n v="-71.058899999999994"/>
    <n v="725"/>
    <n v="450"/>
    <x v="3"/>
    <n v="9"/>
    <s v="short"/>
    <n v="81"/>
  </r>
  <r>
    <x v="14"/>
    <n v="39.739199999999997"/>
    <n v="-104.9903"/>
    <x v="14"/>
    <n v="29.760400000000001"/>
    <n v="-95.369799999999998"/>
    <n v="1420"/>
    <n v="882"/>
    <x v="1"/>
    <n v="2.5"/>
    <s v="far"/>
    <n v="568"/>
  </r>
  <r>
    <x v="15"/>
    <n v="36.106900000000003"/>
    <n v="-112.1129"/>
    <x v="15"/>
    <n v="36.169899999999998"/>
    <n v="-115.13979999999999"/>
    <n v="439"/>
    <n v="273"/>
    <x v="4"/>
    <n v="5"/>
    <s v="short"/>
    <n v="88"/>
  </r>
  <r>
    <x v="16"/>
    <n v="36.162700000000001"/>
    <n v="-86.781599999999997"/>
    <x v="16"/>
    <n v="33.749000000000002"/>
    <n v="-84.388000000000005"/>
    <n v="379"/>
    <n v="236"/>
    <x v="4"/>
    <n v="4.5"/>
    <s v="short"/>
    <n v="85"/>
  </r>
  <r>
    <x v="17"/>
    <n v="29.9511"/>
    <n v="-90.0715"/>
    <x v="17"/>
    <n v="32.776699999999998"/>
    <n v="-96.796999999999997"/>
    <n v="711"/>
    <n v="442"/>
    <x v="3"/>
    <n v="8"/>
    <s v="short"/>
    <n v="89"/>
  </r>
  <r>
    <x v="18"/>
    <n v="33.448399999999999"/>
    <n v="-112.074"/>
    <x v="18"/>
    <n v="32.715699999999998"/>
    <n v="-117.1611"/>
    <n v="502"/>
    <n v="312"/>
    <x v="3"/>
    <n v="6"/>
    <s v="short"/>
    <n v="84"/>
  </r>
  <r>
    <x v="19"/>
    <n v="49.282699999999998"/>
    <n v="-123.1207"/>
    <x v="19"/>
    <n v="45.505099999999999"/>
    <n v="-122.675"/>
    <n v="510"/>
    <n v="317"/>
    <x v="3"/>
    <n v="10"/>
    <s v="short"/>
    <n v="51"/>
  </r>
  <r>
    <x v="1"/>
    <n v="37.774900000000002"/>
    <n v="-122.4194"/>
    <x v="0"/>
    <n v="34.052199999999999"/>
    <n v="-118.2437"/>
    <n v="615"/>
    <n v="382"/>
    <x v="3"/>
    <n v="1.5"/>
    <s v="short"/>
    <n v="410"/>
  </r>
  <r>
    <x v="11"/>
    <n v="47.606200000000001"/>
    <n v="-122.3321"/>
    <x v="19"/>
    <n v="45.505099999999999"/>
    <n v="-122.675"/>
    <n v="279"/>
    <n v="173"/>
    <x v="4"/>
    <n v="4"/>
    <s v="short"/>
    <n v="70"/>
  </r>
  <r>
    <x v="12"/>
    <n v="25.761700000000001"/>
    <n v="-80.191800000000001"/>
    <x v="10"/>
    <n v="40.712800000000001"/>
    <n v="-74.006"/>
    <n v="1754"/>
    <n v="1091"/>
    <x v="1"/>
    <n v="20"/>
    <s v="far"/>
    <n v="88"/>
  </r>
  <r>
    <x v="13"/>
    <n v="38.907200000000003"/>
    <n v="-77.037000000000006"/>
    <x v="12"/>
    <n v="41.878100000000003"/>
    <n v="-87.629800000000003"/>
    <n v="925"/>
    <n v="574"/>
    <x v="3"/>
    <n v="14"/>
    <s v="short"/>
    <n v="67"/>
  </r>
  <r>
    <x v="14"/>
    <n v="39.739199999999997"/>
    <n v="-104.9903"/>
    <x v="11"/>
    <n v="37.774900000000002"/>
    <n v="-122.4194"/>
    <n v="1643"/>
    <n v="1021"/>
    <x v="1"/>
    <n v="3"/>
    <s v="far"/>
    <n v="548"/>
  </r>
  <r>
    <x v="15"/>
    <n v="36.106900000000003"/>
    <n v="-112.1129"/>
    <x v="15"/>
    <n v="36.169899999999998"/>
    <n v="-115.13979999999999"/>
    <n v="439"/>
    <n v="273"/>
    <x v="4"/>
    <n v="5"/>
    <s v="short"/>
    <n v="88"/>
  </r>
  <r>
    <x v="16"/>
    <n v="36.162700000000001"/>
    <n v="-86.781599999999997"/>
    <x v="16"/>
    <n v="33.749000000000002"/>
    <n v="-84.388000000000005"/>
    <n v="379"/>
    <n v="236"/>
    <x v="4"/>
    <n v="4.5"/>
    <s v="short"/>
    <n v="85"/>
  </r>
  <r>
    <x v="7"/>
    <n v="32.776699999999998"/>
    <n v="-96.796999999999997"/>
    <x v="7"/>
    <n v="29.9511"/>
    <n v="-90.0715"/>
    <n v="711"/>
    <n v="442"/>
    <x v="3"/>
    <n v="8"/>
    <s v="short"/>
    <n v="89"/>
  </r>
  <r>
    <x v="8"/>
    <n v="32.715699999999998"/>
    <n v="-117.1611"/>
    <x v="8"/>
    <n v="33.448399999999999"/>
    <n v="-112.074"/>
    <n v="502"/>
    <n v="312"/>
    <x v="3"/>
    <n v="6"/>
    <s v="short"/>
    <n v="84"/>
  </r>
  <r>
    <x v="9"/>
    <n v="45.505099999999999"/>
    <n v="-122.675"/>
    <x v="9"/>
    <n v="49.282699999999998"/>
    <n v="-123.1207"/>
    <n v="510"/>
    <n v="317"/>
    <x v="3"/>
    <n v="10"/>
    <s v="short"/>
    <n v="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New York"/>
    <n v="40.712800000000001"/>
    <n v="-74.006"/>
    <s v="Los Angeles"/>
    <n v="34.052199999999999"/>
    <n v="-118.2437"/>
    <n v="3949"/>
    <n v="2454"/>
    <x v="0"/>
    <n v="5.5"/>
    <x v="0"/>
    <n v="718"/>
  </r>
  <r>
    <s v="San Francisco"/>
    <n v="37.774900000000002"/>
    <n v="-122.4194"/>
    <s v="Seattle"/>
    <n v="47.606200000000001"/>
    <n v="-122.3321"/>
    <n v="1307"/>
    <n v="813"/>
    <x v="1"/>
    <n v="12"/>
    <x v="1"/>
    <n v="109"/>
  </r>
  <r>
    <s v="Chicago"/>
    <n v="41.878100000000003"/>
    <n v="-87.629800000000003"/>
    <s v="Miami"/>
    <n v="25.761700000000001"/>
    <n v="-80.191800000000001"/>
    <n v="2018"/>
    <n v="1255"/>
    <x v="2"/>
    <n v="25"/>
    <x v="2"/>
    <n v="81"/>
  </r>
  <r>
    <s v="Boston"/>
    <n v="42.360100000000003"/>
    <n v="-71.058899999999994"/>
    <s v="Washington D.C."/>
    <n v="38.907200000000003"/>
    <n v="-77.037000000000006"/>
    <n v="725"/>
    <n v="450"/>
    <x v="3"/>
    <n v="9"/>
    <x v="3"/>
    <n v="81"/>
  </r>
  <r>
    <s v="Houston"/>
    <n v="29.760400000000001"/>
    <n v="-95.369799999999998"/>
    <s v="Denver"/>
    <n v="39.739199999999997"/>
    <n v="-104.9903"/>
    <n v="1420"/>
    <n v="882"/>
    <x v="1"/>
    <n v="2.5"/>
    <x v="1"/>
    <n v="568"/>
  </r>
  <r>
    <s v="Las Vegas"/>
    <n v="36.169899999999998"/>
    <n v="-115.13979999999999"/>
    <s v="Grand Canyon"/>
    <n v="36.106900000000003"/>
    <n v="-112.1129"/>
    <n v="439"/>
    <n v="273"/>
    <x v="4"/>
    <n v="5"/>
    <x v="3"/>
    <n v="88"/>
  </r>
  <r>
    <s v="Atlanta"/>
    <n v="33.749000000000002"/>
    <n v="-84.388000000000005"/>
    <s v="Nashville"/>
    <n v="36.162700000000001"/>
    <n v="-86.781599999999997"/>
    <n v="379"/>
    <n v="236"/>
    <x v="4"/>
    <n v="4.5"/>
    <x v="3"/>
    <n v="85"/>
  </r>
  <r>
    <s v="Dallas"/>
    <n v="32.776699999999998"/>
    <n v="-96.796999999999997"/>
    <s v="New Orleans"/>
    <n v="29.9511"/>
    <n v="-90.0715"/>
    <n v="711"/>
    <n v="442"/>
    <x v="3"/>
    <n v="8"/>
    <x v="3"/>
    <n v="89"/>
  </r>
  <r>
    <s v="San Diego"/>
    <n v="32.715699999999998"/>
    <n v="-117.1611"/>
    <s v="Phoenix"/>
    <n v="33.448399999999999"/>
    <n v="-112.074"/>
    <n v="502"/>
    <n v="312"/>
    <x v="3"/>
    <n v="6"/>
    <x v="3"/>
    <n v="84"/>
  </r>
  <r>
    <s v="Portland"/>
    <n v="45.505099999999999"/>
    <n v="-122.675"/>
    <s v="Vancouver"/>
    <n v="49.282699999999998"/>
    <n v="-123.1207"/>
    <n v="510"/>
    <n v="317"/>
    <x v="3"/>
    <n v="10"/>
    <x v="3"/>
    <n v="51"/>
  </r>
  <r>
    <s v="Los Angeles"/>
    <n v="34.052199999999999"/>
    <n v="-118.2437"/>
    <s v="New York"/>
    <n v="40.712800000000001"/>
    <n v="-74.006"/>
    <n v="3949"/>
    <n v="2454"/>
    <x v="0"/>
    <n v="5.5"/>
    <x v="0"/>
    <n v="718"/>
  </r>
  <r>
    <s v="Seattle"/>
    <n v="47.606200000000001"/>
    <n v="-122.3321"/>
    <s v="San Francisco"/>
    <n v="37.774900000000002"/>
    <n v="-122.4194"/>
    <n v="1307"/>
    <n v="813"/>
    <x v="1"/>
    <n v="12"/>
    <x v="1"/>
    <n v="109"/>
  </r>
  <r>
    <s v="Miami"/>
    <n v="25.761700000000001"/>
    <n v="-80.191800000000001"/>
    <s v="Chicago"/>
    <n v="41.878100000000003"/>
    <n v="-87.629800000000003"/>
    <n v="2018"/>
    <n v="1255"/>
    <x v="2"/>
    <n v="25"/>
    <x v="2"/>
    <n v="81"/>
  </r>
  <r>
    <s v="Washington D.C."/>
    <n v="38.907200000000003"/>
    <n v="-77.037000000000006"/>
    <s v="Boston"/>
    <n v="42.360100000000003"/>
    <n v="-71.058899999999994"/>
    <n v="725"/>
    <n v="450"/>
    <x v="3"/>
    <n v="9"/>
    <x v="3"/>
    <n v="81"/>
  </r>
  <r>
    <s v="Denver"/>
    <n v="39.739199999999997"/>
    <n v="-104.9903"/>
    <s v="Houston"/>
    <n v="29.760400000000001"/>
    <n v="-95.369799999999998"/>
    <n v="1420"/>
    <n v="882"/>
    <x v="1"/>
    <n v="2.5"/>
    <x v="1"/>
    <n v="568"/>
  </r>
  <r>
    <s v="Grand Canyon"/>
    <n v="36.106900000000003"/>
    <n v="-112.1129"/>
    <s v="Las Vegas"/>
    <n v="36.169899999999998"/>
    <n v="-115.13979999999999"/>
    <n v="439"/>
    <n v="273"/>
    <x v="4"/>
    <n v="5"/>
    <x v="3"/>
    <n v="88"/>
  </r>
  <r>
    <s v="Nashville"/>
    <n v="36.162700000000001"/>
    <n v="-86.781599999999997"/>
    <s v="Atlanta"/>
    <n v="33.749000000000002"/>
    <n v="-84.388000000000005"/>
    <n v="379"/>
    <n v="236"/>
    <x v="4"/>
    <n v="4.5"/>
    <x v="3"/>
    <n v="85"/>
  </r>
  <r>
    <s v="New Orleans"/>
    <n v="29.9511"/>
    <n v="-90.0715"/>
    <s v="Dallas"/>
    <n v="32.776699999999998"/>
    <n v="-96.796999999999997"/>
    <n v="711"/>
    <n v="442"/>
    <x v="3"/>
    <n v="8"/>
    <x v="3"/>
    <n v="89"/>
  </r>
  <r>
    <s v="Phoenix"/>
    <n v="33.448399999999999"/>
    <n v="-112.074"/>
    <s v="San Diego"/>
    <n v="32.715699999999998"/>
    <n v="-117.1611"/>
    <n v="502"/>
    <n v="312"/>
    <x v="3"/>
    <n v="6"/>
    <x v="3"/>
    <n v="84"/>
  </r>
  <r>
    <s v="Vancouver"/>
    <n v="49.282699999999998"/>
    <n v="-123.1207"/>
    <s v="Portland"/>
    <n v="45.505099999999999"/>
    <n v="-122.675"/>
    <n v="510"/>
    <n v="317"/>
    <x v="3"/>
    <n v="10"/>
    <x v="3"/>
    <n v="51"/>
  </r>
  <r>
    <s v="San Francisco"/>
    <n v="37.774900000000002"/>
    <n v="-122.4194"/>
    <s v="Los Angeles"/>
    <n v="34.052199999999999"/>
    <n v="-118.2437"/>
    <n v="615"/>
    <n v="382"/>
    <x v="3"/>
    <n v="1.5"/>
    <x v="3"/>
    <n v="410"/>
  </r>
  <r>
    <s v="Seattle"/>
    <n v="47.606200000000001"/>
    <n v="-122.3321"/>
    <s v="Portland"/>
    <n v="45.505099999999999"/>
    <n v="-122.675"/>
    <n v="279"/>
    <n v="173"/>
    <x v="4"/>
    <n v="4"/>
    <x v="3"/>
    <n v="70"/>
  </r>
  <r>
    <s v="Miami"/>
    <n v="25.761700000000001"/>
    <n v="-80.191800000000001"/>
    <s v="New York"/>
    <n v="40.712800000000001"/>
    <n v="-74.006"/>
    <n v="1754"/>
    <n v="1091"/>
    <x v="1"/>
    <n v="20"/>
    <x v="1"/>
    <n v="88"/>
  </r>
  <r>
    <s v="Washington D.C."/>
    <n v="38.907200000000003"/>
    <n v="-77.037000000000006"/>
    <s v="Chicago"/>
    <n v="41.878100000000003"/>
    <n v="-87.629800000000003"/>
    <n v="925"/>
    <n v="574"/>
    <x v="3"/>
    <n v="14"/>
    <x v="3"/>
    <n v="67"/>
  </r>
  <r>
    <s v="Denver"/>
    <n v="39.739199999999997"/>
    <n v="-104.9903"/>
    <s v="San Francisco"/>
    <n v="37.774900000000002"/>
    <n v="-122.4194"/>
    <n v="1643"/>
    <n v="1021"/>
    <x v="1"/>
    <n v="3"/>
    <x v="1"/>
    <n v="548"/>
  </r>
  <r>
    <s v="Grand Canyon"/>
    <n v="36.106900000000003"/>
    <n v="-112.1129"/>
    <s v="Las Vegas"/>
    <n v="36.169899999999998"/>
    <n v="-115.13979999999999"/>
    <n v="439"/>
    <n v="273"/>
    <x v="4"/>
    <n v="5"/>
    <x v="3"/>
    <n v="88"/>
  </r>
  <r>
    <s v="Nashville"/>
    <n v="36.162700000000001"/>
    <n v="-86.781599999999997"/>
    <s v="Atlanta"/>
    <n v="33.749000000000002"/>
    <n v="-84.388000000000005"/>
    <n v="379"/>
    <n v="236"/>
    <x v="4"/>
    <n v="4.5"/>
    <x v="3"/>
    <n v="85"/>
  </r>
  <r>
    <s v="Dallas"/>
    <n v="32.776699999999998"/>
    <n v="-96.796999999999997"/>
    <s v="New Orleans"/>
    <n v="29.9511"/>
    <n v="-90.0715"/>
    <n v="711"/>
    <n v="442"/>
    <x v="3"/>
    <n v="8"/>
    <x v="3"/>
    <n v="89"/>
  </r>
  <r>
    <s v="San Diego"/>
    <n v="32.715699999999998"/>
    <n v="-117.1611"/>
    <s v="Phoenix"/>
    <n v="33.448399999999999"/>
    <n v="-112.074"/>
    <n v="502"/>
    <n v="312"/>
    <x v="3"/>
    <n v="6"/>
    <x v="3"/>
    <n v="84"/>
  </r>
  <r>
    <s v="Portland"/>
    <n v="45.505099999999999"/>
    <n v="-122.675"/>
    <s v="Vancouver"/>
    <n v="49.282699999999998"/>
    <n v="-123.1207"/>
    <n v="510"/>
    <n v="317"/>
    <x v="3"/>
    <n v="10"/>
    <x v="3"/>
    <n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E55D6-984F-4446-ACF5-15F47B4F507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4" firstHeaderRow="1" firstDataRow="1" firstDataCol="1"/>
  <pivotFields count="12">
    <pivotField axis="axisRow" showAll="0">
      <items count="21">
        <item x="6"/>
        <item x="3"/>
        <item x="2"/>
        <item x="7"/>
        <item x="14"/>
        <item x="15"/>
        <item x="4"/>
        <item x="5"/>
        <item x="10"/>
        <item x="12"/>
        <item x="16"/>
        <item x="17"/>
        <item x="0"/>
        <item x="18"/>
        <item x="9"/>
        <item x="8"/>
        <item x="1"/>
        <item x="11"/>
        <item x="19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Distance (km)" fld="6" baseField="0" baseItem="0"/>
  </dataFields>
  <chartFormats count="2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19307-3475-4F18-A56B-6E368568D7C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axis="axisRow" showAll="0">
      <items count="5">
        <item sd="0" x="1"/>
        <item sd="0" x="2"/>
        <item sd="0" x="3"/>
        <item sd="0" x="0"/>
        <item t="default" sd="0"/>
      </items>
    </pivotField>
    <pivotField showAll="0"/>
  </pivotFields>
  <rowFields count="2">
    <field x="10"/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ource City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1C3E4-B7B3-4965-9ADD-8E386008D7B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3"/>
        <item x="1"/>
        <item x="2"/>
        <item t="default"/>
      </items>
    </pivotField>
    <pivotField dataField="1"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uration (hours)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CF0E9-BCF2-4D8F-B61B-CA129E698B7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12">
    <pivotField axis="axisRow" showAll="0">
      <items count="21">
        <item sd="0" x="6"/>
        <item sd="0" x="3"/>
        <item sd="0" x="2"/>
        <item sd="0" x="7"/>
        <item sd="0" x="14"/>
        <item sd="0" x="15"/>
        <item sd="0" x="4"/>
        <item sd="0" x="5"/>
        <item sd="0" x="10"/>
        <item sd="0" x="12"/>
        <item sd="0" x="16"/>
        <item sd="0" x="17"/>
        <item sd="0" x="0"/>
        <item sd="0" x="18"/>
        <item sd="0" x="9"/>
        <item sd="0" x="8"/>
        <item sd="0" x="1"/>
        <item sd="0" x="11"/>
        <item sd="0" x="19"/>
        <item sd="0" x="13"/>
        <item t="default" sd="0"/>
      </items>
    </pivotField>
    <pivotField showAll="0"/>
    <pivotField showAll="0"/>
    <pivotField axis="axisRow" showAll="0">
      <items count="21">
        <item x="16"/>
        <item x="13"/>
        <item x="12"/>
        <item x="17"/>
        <item x="4"/>
        <item x="5"/>
        <item x="14"/>
        <item x="15"/>
        <item x="0"/>
        <item x="2"/>
        <item x="6"/>
        <item x="7"/>
        <item x="10"/>
        <item x="8"/>
        <item x="19"/>
        <item x="18"/>
        <item x="11"/>
        <item x="1"/>
        <item x="9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0"/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Distance (miles)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39D14-2BDB-47D6-8B3F-302E73A45F1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vearage Speed" fld="11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125D-4A12-4C04-97B1-26760B00D5F8}">
  <dimension ref="B2:L36"/>
  <sheetViews>
    <sheetView showGridLines="0" topLeftCell="A6" workbookViewId="0">
      <selection activeCell="N14" sqref="N14"/>
    </sheetView>
  </sheetViews>
  <sheetFormatPr defaultColWidth="8.90625" defaultRowHeight="14.5" x14ac:dyDescent="0.35"/>
  <cols>
    <col min="1" max="1" width="5.90625" style="2" customWidth="1"/>
    <col min="2" max="2" width="14.90625" style="2" customWidth="1"/>
    <col min="3" max="4" width="12.453125" style="2" customWidth="1"/>
    <col min="5" max="5" width="17.36328125" style="2" customWidth="1"/>
    <col min="6" max="6" width="13.453125" style="2" customWidth="1"/>
    <col min="7" max="7" width="14.54296875" style="2" customWidth="1"/>
    <col min="8" max="8" width="10.36328125" style="2" customWidth="1"/>
    <col min="9" max="9" width="10" style="2" customWidth="1"/>
    <col min="10" max="10" width="11" style="2" customWidth="1"/>
    <col min="11" max="11" width="10.453125" style="2" customWidth="1"/>
    <col min="12" max="12" width="10.7265625" style="2" customWidth="1"/>
    <col min="13" max="16384" width="8.90625" style="2"/>
  </cols>
  <sheetData>
    <row r="2" spans="2:12" ht="19" thickBot="1" x14ac:dyDescent="0.4">
      <c r="B2" s="1" t="s">
        <v>33</v>
      </c>
      <c r="C2" s="1"/>
      <c r="D2" s="1"/>
      <c r="E2" s="1"/>
      <c r="F2" s="1"/>
      <c r="G2" s="1"/>
      <c r="H2" s="1"/>
      <c r="I2" s="1"/>
      <c r="J2" s="1"/>
      <c r="K2" s="1"/>
    </row>
    <row r="4" spans="2:12" ht="19" thickBot="1" x14ac:dyDescent="0.4">
      <c r="B4" s="3" t="s">
        <v>32</v>
      </c>
      <c r="C4" s="1"/>
      <c r="D4" s="1"/>
      <c r="E4" s="1"/>
      <c r="F4" s="1"/>
      <c r="G4" s="5"/>
      <c r="H4" s="1"/>
      <c r="I4" s="1"/>
      <c r="J4" s="1"/>
      <c r="K4" s="1"/>
    </row>
    <row r="6" spans="2:12" s="4" customFormat="1" ht="31" x14ac:dyDescent="0.35">
      <c r="B6" s="6" t="s">
        <v>0</v>
      </c>
      <c r="C6" s="6" t="s">
        <v>1</v>
      </c>
      <c r="D6" s="6" t="s">
        <v>2</v>
      </c>
      <c r="E6" s="6" t="s">
        <v>3</v>
      </c>
      <c r="F6" s="6" t="s">
        <v>4</v>
      </c>
      <c r="G6" s="6" t="s">
        <v>5</v>
      </c>
      <c r="H6" s="6" t="s">
        <v>6</v>
      </c>
      <c r="I6" s="6" t="s">
        <v>7</v>
      </c>
      <c r="J6" s="6" t="s">
        <v>8</v>
      </c>
      <c r="K6" s="6" t="s">
        <v>9</v>
      </c>
      <c r="L6" s="10" t="s">
        <v>34</v>
      </c>
    </row>
    <row r="7" spans="2:12" x14ac:dyDescent="0.35">
      <c r="B7" s="7" t="s">
        <v>10</v>
      </c>
      <c r="C7" s="7">
        <v>40.712800000000001</v>
      </c>
      <c r="D7" s="7">
        <v>-74.006</v>
      </c>
      <c r="E7" s="7" t="s">
        <v>11</v>
      </c>
      <c r="F7" s="7">
        <v>34.052199999999999</v>
      </c>
      <c r="G7" s="7">
        <v>-118.2437</v>
      </c>
      <c r="H7" s="7">
        <v>3949</v>
      </c>
      <c r="I7" s="7">
        <v>2454</v>
      </c>
      <c r="J7" s="8" t="str">
        <f>IF(H7&gt;=3000,"Bullet train",IF(H7&gt;=2000,"Train",IF(H7&gt;=1000,"car",IF(H7&gt;=500,"Bus","Bike"))))</f>
        <v>Bullet train</v>
      </c>
      <c r="K7" s="7">
        <v>5.5</v>
      </c>
      <c r="L7" s="9" t="str">
        <f>IF(H7&gt;=3000,"toolong",IF(H7&gt;=2000,"long",IF(H7&gt;=1000,"far","short")))</f>
        <v>toolong</v>
      </c>
    </row>
    <row r="8" spans="2:12" x14ac:dyDescent="0.35">
      <c r="B8" s="7" t="s">
        <v>12</v>
      </c>
      <c r="C8" s="7">
        <v>37.774900000000002</v>
      </c>
      <c r="D8" s="7">
        <v>-122.4194</v>
      </c>
      <c r="E8" s="7" t="s">
        <v>13</v>
      </c>
      <c r="F8" s="7">
        <v>47.606200000000001</v>
      </c>
      <c r="G8" s="7">
        <v>-122.3321</v>
      </c>
      <c r="H8" s="7">
        <v>1307</v>
      </c>
      <c r="I8" s="7">
        <v>813</v>
      </c>
      <c r="J8" s="8" t="str">
        <f t="shared" ref="J8:J36" si="0">IF(H8&gt;=3000,"Bullet train",IF(H8&gt;=2000,"Train",IF(H8&gt;=1000,"car",IF(H8&gt;=500,"Bus","Bike"))))</f>
        <v>car</v>
      </c>
      <c r="K8" s="7">
        <v>12</v>
      </c>
      <c r="L8" s="9" t="str">
        <f t="shared" ref="L8:L36" si="1">IF(H8&gt;=3000,"toolong",IF(H8&gt;=2000,"long",IF(H8&gt;=1000,"far","short")))</f>
        <v>far</v>
      </c>
    </row>
    <row r="9" spans="2:12" x14ac:dyDescent="0.35">
      <c r="B9" s="7" t="s">
        <v>14</v>
      </c>
      <c r="C9" s="7">
        <v>41.878100000000003</v>
      </c>
      <c r="D9" s="7">
        <v>-87.629800000000003</v>
      </c>
      <c r="E9" s="7" t="s">
        <v>15</v>
      </c>
      <c r="F9" s="7">
        <v>25.761700000000001</v>
      </c>
      <c r="G9" s="7">
        <v>-80.191800000000001</v>
      </c>
      <c r="H9" s="7">
        <v>2018</v>
      </c>
      <c r="I9" s="7">
        <v>1255</v>
      </c>
      <c r="J9" s="8" t="str">
        <f t="shared" si="0"/>
        <v>Train</v>
      </c>
      <c r="K9" s="7">
        <v>25</v>
      </c>
      <c r="L9" s="9" t="str">
        <f t="shared" si="1"/>
        <v>long</v>
      </c>
    </row>
    <row r="10" spans="2:12" x14ac:dyDescent="0.35">
      <c r="B10" s="7" t="s">
        <v>17</v>
      </c>
      <c r="C10" s="7">
        <v>42.360100000000003</v>
      </c>
      <c r="D10" s="7">
        <v>-71.058899999999994</v>
      </c>
      <c r="E10" s="7" t="s">
        <v>18</v>
      </c>
      <c r="F10" s="7">
        <v>38.907200000000003</v>
      </c>
      <c r="G10" s="7">
        <v>-77.037000000000006</v>
      </c>
      <c r="H10" s="7">
        <v>725</v>
      </c>
      <c r="I10" s="7">
        <v>450</v>
      </c>
      <c r="J10" s="8" t="str">
        <f t="shared" si="0"/>
        <v>Bus</v>
      </c>
      <c r="K10" s="7">
        <v>9</v>
      </c>
      <c r="L10" s="9" t="str">
        <f t="shared" si="1"/>
        <v>short</v>
      </c>
    </row>
    <row r="11" spans="2:12" x14ac:dyDescent="0.35">
      <c r="B11" s="7" t="s">
        <v>20</v>
      </c>
      <c r="C11" s="7">
        <v>29.760400000000001</v>
      </c>
      <c r="D11" s="7">
        <v>-95.369799999999998</v>
      </c>
      <c r="E11" s="7" t="s">
        <v>21</v>
      </c>
      <c r="F11" s="7">
        <v>39.739199999999997</v>
      </c>
      <c r="G11" s="7">
        <v>-104.9903</v>
      </c>
      <c r="H11" s="7">
        <v>1420</v>
      </c>
      <c r="I11" s="7">
        <v>882</v>
      </c>
      <c r="J11" s="8" t="str">
        <f t="shared" si="0"/>
        <v>car</v>
      </c>
      <c r="K11" s="7">
        <v>2.5</v>
      </c>
      <c r="L11" s="9" t="str">
        <f t="shared" si="1"/>
        <v>far</v>
      </c>
    </row>
    <row r="12" spans="2:12" x14ac:dyDescent="0.35">
      <c r="B12" s="7" t="s">
        <v>22</v>
      </c>
      <c r="C12" s="7">
        <v>36.169899999999998</v>
      </c>
      <c r="D12" s="7">
        <v>-115.13979999999999</v>
      </c>
      <c r="E12" s="7" t="s">
        <v>23</v>
      </c>
      <c r="F12" s="7">
        <v>36.106900000000003</v>
      </c>
      <c r="G12" s="7">
        <v>-112.1129</v>
      </c>
      <c r="H12" s="7">
        <v>439</v>
      </c>
      <c r="I12" s="7">
        <v>273</v>
      </c>
      <c r="J12" s="8" t="str">
        <f t="shared" si="0"/>
        <v>Bike</v>
      </c>
      <c r="K12" s="7">
        <v>5</v>
      </c>
      <c r="L12" s="9" t="str">
        <f t="shared" si="1"/>
        <v>short</v>
      </c>
    </row>
    <row r="13" spans="2:12" x14ac:dyDescent="0.35">
      <c r="B13" s="7" t="s">
        <v>24</v>
      </c>
      <c r="C13" s="7">
        <v>33.749000000000002</v>
      </c>
      <c r="D13" s="7">
        <v>-84.388000000000005</v>
      </c>
      <c r="E13" s="7" t="s">
        <v>25</v>
      </c>
      <c r="F13" s="7">
        <v>36.162700000000001</v>
      </c>
      <c r="G13" s="7">
        <v>-86.781599999999997</v>
      </c>
      <c r="H13" s="7">
        <v>379</v>
      </c>
      <c r="I13" s="7">
        <v>236</v>
      </c>
      <c r="J13" s="8" t="str">
        <f t="shared" si="0"/>
        <v>Bike</v>
      </c>
      <c r="K13" s="7">
        <v>4.5</v>
      </c>
      <c r="L13" s="9" t="str">
        <f t="shared" si="1"/>
        <v>short</v>
      </c>
    </row>
    <row r="14" spans="2:12" x14ac:dyDescent="0.35">
      <c r="B14" s="7" t="s">
        <v>26</v>
      </c>
      <c r="C14" s="7">
        <v>32.776699999999998</v>
      </c>
      <c r="D14" s="7">
        <v>-96.796999999999997</v>
      </c>
      <c r="E14" s="7" t="s">
        <v>27</v>
      </c>
      <c r="F14" s="7">
        <v>29.9511</v>
      </c>
      <c r="G14" s="7">
        <v>-90.0715</v>
      </c>
      <c r="H14" s="7">
        <v>711</v>
      </c>
      <c r="I14" s="7">
        <v>442</v>
      </c>
      <c r="J14" s="8" t="str">
        <f t="shared" si="0"/>
        <v>Bus</v>
      </c>
      <c r="K14" s="7">
        <v>8</v>
      </c>
      <c r="L14" s="9" t="str">
        <f t="shared" si="1"/>
        <v>short</v>
      </c>
    </row>
    <row r="15" spans="2:12" x14ac:dyDescent="0.35">
      <c r="B15" s="7" t="s">
        <v>28</v>
      </c>
      <c r="C15" s="7">
        <v>32.715699999999998</v>
      </c>
      <c r="D15" s="7">
        <v>-117.1611</v>
      </c>
      <c r="E15" s="7" t="s">
        <v>29</v>
      </c>
      <c r="F15" s="7">
        <v>33.448399999999999</v>
      </c>
      <c r="G15" s="7">
        <v>-112.074</v>
      </c>
      <c r="H15" s="7">
        <v>502</v>
      </c>
      <c r="I15" s="7">
        <v>312</v>
      </c>
      <c r="J15" s="8" t="str">
        <f t="shared" si="0"/>
        <v>Bus</v>
      </c>
      <c r="K15" s="7">
        <v>6</v>
      </c>
      <c r="L15" s="9" t="str">
        <f t="shared" si="1"/>
        <v>short</v>
      </c>
    </row>
    <row r="16" spans="2:12" x14ac:dyDescent="0.35">
      <c r="B16" s="7" t="s">
        <v>30</v>
      </c>
      <c r="C16" s="7">
        <v>45.505099999999999</v>
      </c>
      <c r="D16" s="7">
        <v>-122.675</v>
      </c>
      <c r="E16" s="7" t="s">
        <v>31</v>
      </c>
      <c r="F16" s="7">
        <v>49.282699999999998</v>
      </c>
      <c r="G16" s="7">
        <v>-123.1207</v>
      </c>
      <c r="H16" s="7">
        <v>510</v>
      </c>
      <c r="I16" s="7">
        <v>317</v>
      </c>
      <c r="J16" s="8" t="str">
        <f t="shared" si="0"/>
        <v>Bus</v>
      </c>
      <c r="K16" s="7">
        <v>10</v>
      </c>
      <c r="L16" s="9" t="str">
        <f t="shared" si="1"/>
        <v>short</v>
      </c>
    </row>
    <row r="17" spans="2:12" x14ac:dyDescent="0.35">
      <c r="B17" s="7" t="s">
        <v>11</v>
      </c>
      <c r="C17" s="7">
        <v>34.052199999999999</v>
      </c>
      <c r="D17" s="7">
        <v>-118.2437</v>
      </c>
      <c r="E17" s="7" t="s">
        <v>10</v>
      </c>
      <c r="F17" s="7">
        <v>40.712800000000001</v>
      </c>
      <c r="G17" s="7">
        <v>-74.006</v>
      </c>
      <c r="H17" s="7">
        <v>3949</v>
      </c>
      <c r="I17" s="7">
        <v>2454</v>
      </c>
      <c r="J17" s="8" t="str">
        <f t="shared" si="0"/>
        <v>Bullet train</v>
      </c>
      <c r="K17" s="7">
        <v>5.5</v>
      </c>
      <c r="L17" s="9" t="str">
        <f t="shared" si="1"/>
        <v>toolong</v>
      </c>
    </row>
    <row r="18" spans="2:12" x14ac:dyDescent="0.35">
      <c r="B18" s="7" t="s">
        <v>13</v>
      </c>
      <c r="C18" s="7">
        <v>47.606200000000001</v>
      </c>
      <c r="D18" s="7">
        <v>-122.3321</v>
      </c>
      <c r="E18" s="7" t="s">
        <v>12</v>
      </c>
      <c r="F18" s="7">
        <v>37.774900000000002</v>
      </c>
      <c r="G18" s="7">
        <v>-122.4194</v>
      </c>
      <c r="H18" s="7">
        <v>1307</v>
      </c>
      <c r="I18" s="7">
        <v>813</v>
      </c>
      <c r="J18" s="8" t="str">
        <f t="shared" si="0"/>
        <v>car</v>
      </c>
      <c r="K18" s="7">
        <v>12</v>
      </c>
      <c r="L18" s="9" t="str">
        <f t="shared" si="1"/>
        <v>far</v>
      </c>
    </row>
    <row r="19" spans="2:12" x14ac:dyDescent="0.35">
      <c r="B19" s="7" t="s">
        <v>15</v>
      </c>
      <c r="C19" s="7">
        <v>25.761700000000001</v>
      </c>
      <c r="D19" s="7">
        <v>-80.191800000000001</v>
      </c>
      <c r="E19" s="7" t="s">
        <v>14</v>
      </c>
      <c r="F19" s="7">
        <v>41.878100000000003</v>
      </c>
      <c r="G19" s="7">
        <v>-87.629800000000003</v>
      </c>
      <c r="H19" s="7">
        <v>2018</v>
      </c>
      <c r="I19" s="7">
        <v>1255</v>
      </c>
      <c r="J19" s="8" t="str">
        <f t="shared" si="0"/>
        <v>Train</v>
      </c>
      <c r="K19" s="7">
        <v>25</v>
      </c>
      <c r="L19" s="9" t="str">
        <f t="shared" si="1"/>
        <v>long</v>
      </c>
    </row>
    <row r="20" spans="2:12" x14ac:dyDescent="0.35">
      <c r="B20" s="7" t="s">
        <v>18</v>
      </c>
      <c r="C20" s="7">
        <v>38.907200000000003</v>
      </c>
      <c r="D20" s="7">
        <v>-77.037000000000006</v>
      </c>
      <c r="E20" s="7" t="s">
        <v>17</v>
      </c>
      <c r="F20" s="7">
        <v>42.360100000000003</v>
      </c>
      <c r="G20" s="7">
        <v>-71.058899999999994</v>
      </c>
      <c r="H20" s="7">
        <v>725</v>
      </c>
      <c r="I20" s="7">
        <v>450</v>
      </c>
      <c r="J20" s="8" t="str">
        <f t="shared" si="0"/>
        <v>Bus</v>
      </c>
      <c r="K20" s="7">
        <v>9</v>
      </c>
      <c r="L20" s="9" t="str">
        <f t="shared" si="1"/>
        <v>short</v>
      </c>
    </row>
    <row r="21" spans="2:12" x14ac:dyDescent="0.35">
      <c r="B21" s="7" t="s">
        <v>21</v>
      </c>
      <c r="C21" s="7">
        <v>39.739199999999997</v>
      </c>
      <c r="D21" s="7">
        <v>-104.9903</v>
      </c>
      <c r="E21" s="7" t="s">
        <v>20</v>
      </c>
      <c r="F21" s="7">
        <v>29.760400000000001</v>
      </c>
      <c r="G21" s="7">
        <v>-95.369799999999998</v>
      </c>
      <c r="H21" s="7">
        <v>1420</v>
      </c>
      <c r="I21" s="7">
        <v>882</v>
      </c>
      <c r="J21" s="8" t="str">
        <f t="shared" si="0"/>
        <v>car</v>
      </c>
      <c r="K21" s="7">
        <v>2.5</v>
      </c>
      <c r="L21" s="9" t="str">
        <f t="shared" si="1"/>
        <v>far</v>
      </c>
    </row>
    <row r="22" spans="2:12" x14ac:dyDescent="0.35">
      <c r="B22" s="7" t="s">
        <v>23</v>
      </c>
      <c r="C22" s="7">
        <v>36.106900000000003</v>
      </c>
      <c r="D22" s="7">
        <v>-112.1129</v>
      </c>
      <c r="E22" s="7" t="s">
        <v>22</v>
      </c>
      <c r="F22" s="7">
        <v>36.169899999999998</v>
      </c>
      <c r="G22" s="7">
        <v>-115.13979999999999</v>
      </c>
      <c r="H22" s="7">
        <v>439</v>
      </c>
      <c r="I22" s="7">
        <v>273</v>
      </c>
      <c r="J22" s="8" t="str">
        <f t="shared" si="0"/>
        <v>Bike</v>
      </c>
      <c r="K22" s="7">
        <v>5</v>
      </c>
      <c r="L22" s="9" t="str">
        <f t="shared" si="1"/>
        <v>short</v>
      </c>
    </row>
    <row r="23" spans="2:12" x14ac:dyDescent="0.35">
      <c r="B23" s="7" t="s">
        <v>25</v>
      </c>
      <c r="C23" s="7">
        <v>36.162700000000001</v>
      </c>
      <c r="D23" s="7">
        <v>-86.781599999999997</v>
      </c>
      <c r="E23" s="7" t="s">
        <v>24</v>
      </c>
      <c r="F23" s="7">
        <v>33.749000000000002</v>
      </c>
      <c r="G23" s="7">
        <v>-84.388000000000005</v>
      </c>
      <c r="H23" s="7">
        <v>379</v>
      </c>
      <c r="I23" s="7">
        <v>236</v>
      </c>
      <c r="J23" s="8" t="str">
        <f t="shared" si="0"/>
        <v>Bike</v>
      </c>
      <c r="K23" s="7">
        <v>4.5</v>
      </c>
      <c r="L23" s="9" t="str">
        <f t="shared" si="1"/>
        <v>short</v>
      </c>
    </row>
    <row r="24" spans="2:12" x14ac:dyDescent="0.35">
      <c r="B24" s="7" t="s">
        <v>27</v>
      </c>
      <c r="C24" s="7">
        <v>29.9511</v>
      </c>
      <c r="D24" s="7">
        <v>-90.0715</v>
      </c>
      <c r="E24" s="7" t="s">
        <v>26</v>
      </c>
      <c r="F24" s="7">
        <v>32.776699999999998</v>
      </c>
      <c r="G24" s="7">
        <v>-96.796999999999997</v>
      </c>
      <c r="H24" s="7">
        <v>711</v>
      </c>
      <c r="I24" s="7">
        <v>442</v>
      </c>
      <c r="J24" s="8" t="str">
        <f t="shared" si="0"/>
        <v>Bus</v>
      </c>
      <c r="K24" s="7">
        <v>8</v>
      </c>
      <c r="L24" s="9" t="str">
        <f t="shared" si="1"/>
        <v>short</v>
      </c>
    </row>
    <row r="25" spans="2:12" x14ac:dyDescent="0.35">
      <c r="B25" s="7" t="s">
        <v>29</v>
      </c>
      <c r="C25" s="7">
        <v>33.448399999999999</v>
      </c>
      <c r="D25" s="7">
        <v>-112.074</v>
      </c>
      <c r="E25" s="7" t="s">
        <v>28</v>
      </c>
      <c r="F25" s="7">
        <v>32.715699999999998</v>
      </c>
      <c r="G25" s="7">
        <v>-117.1611</v>
      </c>
      <c r="H25" s="7">
        <v>502</v>
      </c>
      <c r="I25" s="7">
        <v>312</v>
      </c>
      <c r="J25" s="8" t="str">
        <f t="shared" si="0"/>
        <v>Bus</v>
      </c>
      <c r="K25" s="7">
        <v>6</v>
      </c>
      <c r="L25" s="9" t="str">
        <f t="shared" si="1"/>
        <v>short</v>
      </c>
    </row>
    <row r="26" spans="2:12" x14ac:dyDescent="0.35">
      <c r="B26" s="7" t="s">
        <v>31</v>
      </c>
      <c r="C26" s="7">
        <v>49.282699999999998</v>
      </c>
      <c r="D26" s="7">
        <v>-123.1207</v>
      </c>
      <c r="E26" s="7" t="s">
        <v>30</v>
      </c>
      <c r="F26" s="7">
        <v>45.505099999999999</v>
      </c>
      <c r="G26" s="7">
        <v>-122.675</v>
      </c>
      <c r="H26" s="7">
        <v>510</v>
      </c>
      <c r="I26" s="7">
        <v>317</v>
      </c>
      <c r="J26" s="8" t="str">
        <f t="shared" si="0"/>
        <v>Bus</v>
      </c>
      <c r="K26" s="7">
        <v>10</v>
      </c>
      <c r="L26" s="9" t="str">
        <f t="shared" si="1"/>
        <v>short</v>
      </c>
    </row>
    <row r="27" spans="2:12" x14ac:dyDescent="0.35">
      <c r="B27" s="7" t="s">
        <v>12</v>
      </c>
      <c r="C27" s="7">
        <v>37.774900000000002</v>
      </c>
      <c r="D27" s="7">
        <v>-122.4194</v>
      </c>
      <c r="E27" s="7" t="s">
        <v>11</v>
      </c>
      <c r="F27" s="7">
        <v>34.052199999999999</v>
      </c>
      <c r="G27" s="7">
        <v>-118.2437</v>
      </c>
      <c r="H27" s="7">
        <v>615</v>
      </c>
      <c r="I27" s="7">
        <v>382</v>
      </c>
      <c r="J27" s="8" t="str">
        <f t="shared" si="0"/>
        <v>Bus</v>
      </c>
      <c r="K27" s="7">
        <v>1.5</v>
      </c>
      <c r="L27" s="9" t="str">
        <f t="shared" si="1"/>
        <v>short</v>
      </c>
    </row>
    <row r="28" spans="2:12" x14ac:dyDescent="0.35">
      <c r="B28" s="7" t="s">
        <v>13</v>
      </c>
      <c r="C28" s="7">
        <v>47.606200000000001</v>
      </c>
      <c r="D28" s="7">
        <v>-122.3321</v>
      </c>
      <c r="E28" s="7" t="s">
        <v>30</v>
      </c>
      <c r="F28" s="7">
        <v>45.505099999999999</v>
      </c>
      <c r="G28" s="7">
        <v>-122.675</v>
      </c>
      <c r="H28" s="7">
        <v>279</v>
      </c>
      <c r="I28" s="7">
        <v>173</v>
      </c>
      <c r="J28" s="8" t="str">
        <f t="shared" si="0"/>
        <v>Bike</v>
      </c>
      <c r="K28" s="7">
        <v>4</v>
      </c>
      <c r="L28" s="9" t="str">
        <f t="shared" si="1"/>
        <v>short</v>
      </c>
    </row>
    <row r="29" spans="2:12" x14ac:dyDescent="0.35">
      <c r="B29" s="7" t="s">
        <v>15</v>
      </c>
      <c r="C29" s="7">
        <v>25.761700000000001</v>
      </c>
      <c r="D29" s="7">
        <v>-80.191800000000001</v>
      </c>
      <c r="E29" s="7" t="s">
        <v>10</v>
      </c>
      <c r="F29" s="7">
        <v>40.712800000000001</v>
      </c>
      <c r="G29" s="7">
        <v>-74.006</v>
      </c>
      <c r="H29" s="7">
        <v>1754</v>
      </c>
      <c r="I29" s="7">
        <v>1091</v>
      </c>
      <c r="J29" s="8" t="str">
        <f t="shared" si="0"/>
        <v>car</v>
      </c>
      <c r="K29" s="7">
        <v>20</v>
      </c>
      <c r="L29" s="9" t="str">
        <f t="shared" si="1"/>
        <v>far</v>
      </c>
    </row>
    <row r="30" spans="2:12" x14ac:dyDescent="0.35">
      <c r="B30" s="7" t="s">
        <v>18</v>
      </c>
      <c r="C30" s="7">
        <v>38.907200000000003</v>
      </c>
      <c r="D30" s="7">
        <v>-77.037000000000006</v>
      </c>
      <c r="E30" s="7" t="s">
        <v>14</v>
      </c>
      <c r="F30" s="7">
        <v>41.878100000000003</v>
      </c>
      <c r="G30" s="7">
        <v>-87.629800000000003</v>
      </c>
      <c r="H30" s="7">
        <v>925</v>
      </c>
      <c r="I30" s="7">
        <v>574</v>
      </c>
      <c r="J30" s="8" t="str">
        <f t="shared" si="0"/>
        <v>Bus</v>
      </c>
      <c r="K30" s="7">
        <v>14</v>
      </c>
      <c r="L30" s="9" t="str">
        <f t="shared" si="1"/>
        <v>short</v>
      </c>
    </row>
    <row r="31" spans="2:12" x14ac:dyDescent="0.35">
      <c r="B31" s="7" t="s">
        <v>21</v>
      </c>
      <c r="C31" s="7">
        <v>39.739199999999997</v>
      </c>
      <c r="D31" s="7">
        <v>-104.9903</v>
      </c>
      <c r="E31" s="7" t="s">
        <v>12</v>
      </c>
      <c r="F31" s="7">
        <v>37.774900000000002</v>
      </c>
      <c r="G31" s="7">
        <v>-122.4194</v>
      </c>
      <c r="H31" s="7">
        <v>1643</v>
      </c>
      <c r="I31" s="7">
        <v>1021</v>
      </c>
      <c r="J31" s="8" t="str">
        <f t="shared" si="0"/>
        <v>car</v>
      </c>
      <c r="K31" s="7">
        <v>3</v>
      </c>
      <c r="L31" s="9" t="str">
        <f t="shared" si="1"/>
        <v>far</v>
      </c>
    </row>
    <row r="32" spans="2:12" x14ac:dyDescent="0.35">
      <c r="B32" s="7" t="s">
        <v>23</v>
      </c>
      <c r="C32" s="7">
        <v>36.106900000000003</v>
      </c>
      <c r="D32" s="7">
        <v>-112.1129</v>
      </c>
      <c r="E32" s="7" t="s">
        <v>22</v>
      </c>
      <c r="F32" s="7">
        <v>36.169899999999998</v>
      </c>
      <c r="G32" s="7">
        <v>-115.13979999999999</v>
      </c>
      <c r="H32" s="7">
        <v>439</v>
      </c>
      <c r="I32" s="7">
        <v>273</v>
      </c>
      <c r="J32" s="8" t="str">
        <f t="shared" si="0"/>
        <v>Bike</v>
      </c>
      <c r="K32" s="7">
        <v>5</v>
      </c>
      <c r="L32" s="9" t="str">
        <f t="shared" si="1"/>
        <v>short</v>
      </c>
    </row>
    <row r="33" spans="2:12" x14ac:dyDescent="0.35">
      <c r="B33" s="7" t="s">
        <v>25</v>
      </c>
      <c r="C33" s="7">
        <v>36.162700000000001</v>
      </c>
      <c r="D33" s="7">
        <v>-86.781599999999997</v>
      </c>
      <c r="E33" s="7" t="s">
        <v>24</v>
      </c>
      <c r="F33" s="7">
        <v>33.749000000000002</v>
      </c>
      <c r="G33" s="7">
        <v>-84.388000000000005</v>
      </c>
      <c r="H33" s="7">
        <v>379</v>
      </c>
      <c r="I33" s="7">
        <v>236</v>
      </c>
      <c r="J33" s="8" t="str">
        <f t="shared" si="0"/>
        <v>Bike</v>
      </c>
      <c r="K33" s="7">
        <v>4.5</v>
      </c>
      <c r="L33" s="9" t="str">
        <f t="shared" si="1"/>
        <v>short</v>
      </c>
    </row>
    <row r="34" spans="2:12" x14ac:dyDescent="0.35">
      <c r="B34" s="7" t="s">
        <v>26</v>
      </c>
      <c r="C34" s="7">
        <v>32.776699999999998</v>
      </c>
      <c r="D34" s="7">
        <v>-96.796999999999997</v>
      </c>
      <c r="E34" s="7" t="s">
        <v>27</v>
      </c>
      <c r="F34" s="7">
        <v>29.9511</v>
      </c>
      <c r="G34" s="7">
        <v>-90.0715</v>
      </c>
      <c r="H34" s="7">
        <v>711</v>
      </c>
      <c r="I34" s="7">
        <v>442</v>
      </c>
      <c r="J34" s="8" t="str">
        <f t="shared" si="0"/>
        <v>Bus</v>
      </c>
      <c r="K34" s="7">
        <v>8</v>
      </c>
      <c r="L34" s="9" t="str">
        <f t="shared" si="1"/>
        <v>short</v>
      </c>
    </row>
    <row r="35" spans="2:12" x14ac:dyDescent="0.35">
      <c r="B35" s="7" t="s">
        <v>28</v>
      </c>
      <c r="C35" s="7">
        <v>32.715699999999998</v>
      </c>
      <c r="D35" s="7">
        <v>-117.1611</v>
      </c>
      <c r="E35" s="7" t="s">
        <v>29</v>
      </c>
      <c r="F35" s="7">
        <v>33.448399999999999</v>
      </c>
      <c r="G35" s="7">
        <v>-112.074</v>
      </c>
      <c r="H35" s="7">
        <v>502</v>
      </c>
      <c r="I35" s="7">
        <v>312</v>
      </c>
      <c r="J35" s="8" t="str">
        <f t="shared" si="0"/>
        <v>Bus</v>
      </c>
      <c r="K35" s="7">
        <v>6</v>
      </c>
      <c r="L35" s="9" t="str">
        <f t="shared" si="1"/>
        <v>short</v>
      </c>
    </row>
    <row r="36" spans="2:12" x14ac:dyDescent="0.35">
      <c r="B36" s="7" t="s">
        <v>30</v>
      </c>
      <c r="C36" s="7">
        <v>45.505099999999999</v>
      </c>
      <c r="D36" s="7">
        <v>-122.675</v>
      </c>
      <c r="E36" s="7" t="s">
        <v>31</v>
      </c>
      <c r="F36" s="7">
        <v>49.282699999999998</v>
      </c>
      <c r="G36" s="7">
        <v>-123.1207</v>
      </c>
      <c r="H36" s="7">
        <v>510</v>
      </c>
      <c r="I36" s="7">
        <v>317</v>
      </c>
      <c r="J36" s="8" t="str">
        <f t="shared" si="0"/>
        <v>Bus</v>
      </c>
      <c r="K36" s="7">
        <v>10</v>
      </c>
      <c r="L36" s="9" t="str">
        <f t="shared" si="1"/>
        <v>short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CD61-A286-416D-829D-50F33AC59128}">
  <dimension ref="B2:P36"/>
  <sheetViews>
    <sheetView tabSelected="1" zoomScale="69" zoomScaleNormal="47" workbookViewId="0">
      <selection activeCell="Q15" sqref="Q15"/>
    </sheetView>
  </sheetViews>
  <sheetFormatPr defaultColWidth="8.90625" defaultRowHeight="14.5" x14ac:dyDescent="0.35"/>
  <cols>
    <col min="1" max="1" width="5.90625" style="2" customWidth="1"/>
    <col min="2" max="2" width="14.90625" style="2" customWidth="1"/>
    <col min="3" max="4" width="12.453125" style="2" customWidth="1"/>
    <col min="5" max="5" width="17.36328125" style="2" customWidth="1"/>
    <col min="6" max="6" width="13.453125" style="2" customWidth="1"/>
    <col min="7" max="7" width="14.54296875" style="2" customWidth="1"/>
    <col min="8" max="8" width="10.36328125" style="2" customWidth="1"/>
    <col min="9" max="9" width="10" style="2" customWidth="1"/>
    <col min="10" max="10" width="11" style="2" customWidth="1"/>
    <col min="11" max="11" width="10.453125" style="2" customWidth="1"/>
    <col min="12" max="12" width="10.7265625" style="2" customWidth="1"/>
    <col min="13" max="13" width="10.81640625" style="2" customWidth="1"/>
    <col min="14" max="14" width="8.90625" style="2"/>
    <col min="15" max="15" width="16.08984375" style="2" customWidth="1"/>
    <col min="16" max="16384" width="8.90625" style="2"/>
  </cols>
  <sheetData>
    <row r="2" spans="2:16" ht="19" thickBot="1" x14ac:dyDescent="0.4">
      <c r="B2" s="1" t="s">
        <v>33</v>
      </c>
      <c r="C2" s="1"/>
      <c r="D2" s="1"/>
      <c r="E2" s="1"/>
      <c r="F2" s="1"/>
      <c r="G2" s="1"/>
      <c r="H2" s="1"/>
      <c r="I2" s="1"/>
      <c r="J2" s="1"/>
      <c r="K2" s="1"/>
    </row>
    <row r="4" spans="2:16" ht="19" thickBot="1" x14ac:dyDescent="0.4">
      <c r="B4" s="3" t="s">
        <v>32</v>
      </c>
      <c r="C4" s="1"/>
      <c r="D4" s="1"/>
      <c r="E4" s="1"/>
      <c r="F4" s="1"/>
      <c r="G4" s="5"/>
      <c r="H4" s="1"/>
      <c r="I4" s="1"/>
      <c r="J4" s="1"/>
      <c r="K4" s="1"/>
    </row>
    <row r="6" spans="2:16" s="4" customFormat="1" ht="31" x14ac:dyDescent="0.35">
      <c r="B6" s="6" t="s">
        <v>0</v>
      </c>
      <c r="C6" s="6" t="s">
        <v>1</v>
      </c>
      <c r="D6" s="6" t="s">
        <v>2</v>
      </c>
      <c r="E6" s="6" t="s">
        <v>3</v>
      </c>
      <c r="F6" s="6" t="s">
        <v>4</v>
      </c>
      <c r="G6" s="6" t="s">
        <v>5</v>
      </c>
      <c r="H6" s="6" t="s">
        <v>6</v>
      </c>
      <c r="I6" s="6" t="s">
        <v>7</v>
      </c>
      <c r="J6" s="6" t="s">
        <v>8</v>
      </c>
      <c r="K6" s="6" t="s">
        <v>9</v>
      </c>
      <c r="L6" s="10" t="s">
        <v>34</v>
      </c>
      <c r="M6" s="10" t="s">
        <v>35</v>
      </c>
    </row>
    <row r="7" spans="2:16" x14ac:dyDescent="0.35">
      <c r="B7" s="7" t="s">
        <v>10</v>
      </c>
      <c r="C7" s="7">
        <v>40.712800000000001</v>
      </c>
      <c r="D7" s="7">
        <v>-74.006</v>
      </c>
      <c r="E7" s="7" t="s">
        <v>11</v>
      </c>
      <c r="F7" s="7">
        <v>34.052199999999999</v>
      </c>
      <c r="G7" s="7">
        <v>-118.2437</v>
      </c>
      <c r="H7" s="7">
        <v>3949</v>
      </c>
      <c r="I7" s="7">
        <v>2454</v>
      </c>
      <c r="J7" s="8" t="str">
        <f>IF(H7&gt;=3000,"Bullet train",IF(H7&gt;=2000,"Train",IF(H7&gt;=1000,"car",IF(H7&gt;=500,"Bus","Bike"))))</f>
        <v>Bullet train</v>
      </c>
      <c r="K7" s="7">
        <v>5.5</v>
      </c>
      <c r="L7" s="9" t="str">
        <f>IF(H7&gt;=3000,"to-long",IF(H7&gt;=2000,"long",IF(H7&gt;=1000,"far","short")))</f>
        <v>to-long</v>
      </c>
      <c r="M7" s="9">
        <f>ROUNDUP(H7/K7,0)</f>
        <v>718</v>
      </c>
      <c r="O7" s="13" t="s">
        <v>50</v>
      </c>
      <c r="P7" s="13">
        <f>SUM(H7:H36)</f>
        <v>31677</v>
      </c>
    </row>
    <row r="8" spans="2:16" x14ac:dyDescent="0.35">
      <c r="B8" s="7" t="s">
        <v>12</v>
      </c>
      <c r="C8" s="7">
        <v>37.774900000000002</v>
      </c>
      <c r="D8" s="7">
        <v>-122.4194</v>
      </c>
      <c r="E8" s="7" t="s">
        <v>13</v>
      </c>
      <c r="F8" s="7">
        <v>47.606200000000001</v>
      </c>
      <c r="G8" s="7">
        <v>-122.3321</v>
      </c>
      <c r="H8" s="7">
        <v>1307</v>
      </c>
      <c r="I8" s="7">
        <v>813</v>
      </c>
      <c r="J8" s="8" t="str">
        <f t="shared" ref="J8:J36" si="0">IF(H8&gt;=3000,"Bullet train",IF(H8&gt;=2000,"Train",IF(H8&gt;=1000,"car",IF(H8&gt;=500,"Bus","Bike"))))</f>
        <v>car</v>
      </c>
      <c r="K8" s="7">
        <v>12</v>
      </c>
      <c r="L8" s="9" t="str">
        <f t="shared" ref="L8:L36" si="1">IF(H8&gt;=3000,"to-long",IF(H8&gt;=2000,"long",IF(H8&gt;=1000,"far","short")))</f>
        <v>far</v>
      </c>
      <c r="M8" s="9">
        <f t="shared" ref="M8:M36" si="2">ROUNDUP(H8/K8,0)</f>
        <v>109</v>
      </c>
      <c r="O8" s="13" t="s">
        <v>51</v>
      </c>
      <c r="P8" s="13">
        <f>SUM(K7:K36)</f>
        <v>251</v>
      </c>
    </row>
    <row r="9" spans="2:16" x14ac:dyDescent="0.35">
      <c r="B9" s="7" t="s">
        <v>14</v>
      </c>
      <c r="C9" s="7">
        <v>41.878100000000003</v>
      </c>
      <c r="D9" s="7">
        <v>-87.629800000000003</v>
      </c>
      <c r="E9" s="7" t="s">
        <v>15</v>
      </c>
      <c r="F9" s="7">
        <v>25.761700000000001</v>
      </c>
      <c r="G9" s="7">
        <v>-80.191800000000001</v>
      </c>
      <c r="H9" s="7">
        <v>2018</v>
      </c>
      <c r="I9" s="7">
        <v>1255</v>
      </c>
      <c r="J9" s="8" t="str">
        <f t="shared" si="0"/>
        <v>Train</v>
      </c>
      <c r="K9" s="7">
        <v>25</v>
      </c>
      <c r="L9" s="9" t="str">
        <f t="shared" si="1"/>
        <v>long</v>
      </c>
      <c r="M9" s="9">
        <f t="shared" si="2"/>
        <v>81</v>
      </c>
      <c r="O9" s="13" t="s">
        <v>52</v>
      </c>
      <c r="P9" s="13">
        <f>SUM(I7:I36)</f>
        <v>19689</v>
      </c>
    </row>
    <row r="10" spans="2:16" x14ac:dyDescent="0.35">
      <c r="B10" s="7" t="s">
        <v>17</v>
      </c>
      <c r="C10" s="7">
        <v>42.360100000000003</v>
      </c>
      <c r="D10" s="7">
        <v>-71.058899999999994</v>
      </c>
      <c r="E10" s="7" t="s">
        <v>18</v>
      </c>
      <c r="F10" s="7">
        <v>38.907200000000003</v>
      </c>
      <c r="G10" s="7">
        <v>-77.037000000000006</v>
      </c>
      <c r="H10" s="7">
        <v>725</v>
      </c>
      <c r="I10" s="7">
        <v>450</v>
      </c>
      <c r="J10" s="8" t="str">
        <f t="shared" si="0"/>
        <v>Bus</v>
      </c>
      <c r="K10" s="7">
        <v>9</v>
      </c>
      <c r="L10" s="9" t="str">
        <f t="shared" si="1"/>
        <v>short</v>
      </c>
      <c r="M10" s="9">
        <f t="shared" si="2"/>
        <v>81</v>
      </c>
    </row>
    <row r="11" spans="2:16" x14ac:dyDescent="0.35">
      <c r="B11" s="7" t="s">
        <v>20</v>
      </c>
      <c r="C11" s="7">
        <v>29.760400000000001</v>
      </c>
      <c r="D11" s="7">
        <v>-95.369799999999998</v>
      </c>
      <c r="E11" s="7" t="s">
        <v>21</v>
      </c>
      <c r="F11" s="7">
        <v>39.739199999999997</v>
      </c>
      <c r="G11" s="7">
        <v>-104.9903</v>
      </c>
      <c r="H11" s="7">
        <v>1420</v>
      </c>
      <c r="I11" s="7">
        <v>882</v>
      </c>
      <c r="J11" s="8" t="str">
        <f t="shared" si="0"/>
        <v>car</v>
      </c>
      <c r="K11" s="7">
        <v>2.5</v>
      </c>
      <c r="L11" s="9" t="str">
        <f t="shared" si="1"/>
        <v>far</v>
      </c>
      <c r="M11" s="9">
        <f t="shared" si="2"/>
        <v>568</v>
      </c>
    </row>
    <row r="12" spans="2:16" x14ac:dyDescent="0.35">
      <c r="B12" s="7" t="s">
        <v>22</v>
      </c>
      <c r="C12" s="7">
        <v>36.169899999999998</v>
      </c>
      <c r="D12" s="7">
        <v>-115.13979999999999</v>
      </c>
      <c r="E12" s="7" t="s">
        <v>23</v>
      </c>
      <c r="F12" s="7">
        <v>36.106900000000003</v>
      </c>
      <c r="G12" s="7">
        <v>-112.1129</v>
      </c>
      <c r="H12" s="7">
        <v>439</v>
      </c>
      <c r="I12" s="7">
        <v>273</v>
      </c>
      <c r="J12" s="8" t="str">
        <f t="shared" si="0"/>
        <v>Bike</v>
      </c>
      <c r="K12" s="7">
        <v>5</v>
      </c>
      <c r="L12" s="9" t="str">
        <f t="shared" si="1"/>
        <v>short</v>
      </c>
      <c r="M12" s="9">
        <f t="shared" si="2"/>
        <v>88</v>
      </c>
    </row>
    <row r="13" spans="2:16" x14ac:dyDescent="0.35">
      <c r="B13" s="7" t="s">
        <v>24</v>
      </c>
      <c r="C13" s="7">
        <v>33.749000000000002</v>
      </c>
      <c r="D13" s="7">
        <v>-84.388000000000005</v>
      </c>
      <c r="E13" s="7" t="s">
        <v>25</v>
      </c>
      <c r="F13" s="7">
        <v>36.162700000000001</v>
      </c>
      <c r="G13" s="7">
        <v>-86.781599999999997</v>
      </c>
      <c r="H13" s="7">
        <v>379</v>
      </c>
      <c r="I13" s="7">
        <v>236</v>
      </c>
      <c r="J13" s="8" t="str">
        <f t="shared" si="0"/>
        <v>Bike</v>
      </c>
      <c r="K13" s="7">
        <v>4.5</v>
      </c>
      <c r="L13" s="9" t="str">
        <f t="shared" si="1"/>
        <v>short</v>
      </c>
      <c r="M13" s="9">
        <f t="shared" si="2"/>
        <v>85</v>
      </c>
    </row>
    <row r="14" spans="2:16" x14ac:dyDescent="0.35">
      <c r="B14" s="7" t="s">
        <v>26</v>
      </c>
      <c r="C14" s="7">
        <v>32.776699999999998</v>
      </c>
      <c r="D14" s="7">
        <v>-96.796999999999997</v>
      </c>
      <c r="E14" s="7" t="s">
        <v>27</v>
      </c>
      <c r="F14" s="7">
        <v>29.9511</v>
      </c>
      <c r="G14" s="7">
        <v>-90.0715</v>
      </c>
      <c r="H14" s="7">
        <v>711</v>
      </c>
      <c r="I14" s="7">
        <v>442</v>
      </c>
      <c r="J14" s="8" t="str">
        <f t="shared" si="0"/>
        <v>Bus</v>
      </c>
      <c r="K14" s="7">
        <v>8</v>
      </c>
      <c r="L14" s="9" t="str">
        <f t="shared" si="1"/>
        <v>short</v>
      </c>
      <c r="M14" s="9">
        <f t="shared" si="2"/>
        <v>89</v>
      </c>
    </row>
    <row r="15" spans="2:16" x14ac:dyDescent="0.35">
      <c r="B15" s="7" t="s">
        <v>28</v>
      </c>
      <c r="C15" s="7">
        <v>32.715699999999998</v>
      </c>
      <c r="D15" s="7">
        <v>-117.1611</v>
      </c>
      <c r="E15" s="7" t="s">
        <v>29</v>
      </c>
      <c r="F15" s="7">
        <v>33.448399999999999</v>
      </c>
      <c r="G15" s="7">
        <v>-112.074</v>
      </c>
      <c r="H15" s="7">
        <v>502</v>
      </c>
      <c r="I15" s="7">
        <v>312</v>
      </c>
      <c r="J15" s="8" t="str">
        <f t="shared" si="0"/>
        <v>Bus</v>
      </c>
      <c r="K15" s="7">
        <v>6</v>
      </c>
      <c r="L15" s="9" t="str">
        <f t="shared" si="1"/>
        <v>short</v>
      </c>
      <c r="M15" s="9">
        <f t="shared" si="2"/>
        <v>84</v>
      </c>
    </row>
    <row r="16" spans="2:16" x14ac:dyDescent="0.35">
      <c r="B16" s="7" t="s">
        <v>30</v>
      </c>
      <c r="C16" s="7">
        <v>45.505099999999999</v>
      </c>
      <c r="D16" s="7">
        <v>-122.675</v>
      </c>
      <c r="E16" s="7" t="s">
        <v>31</v>
      </c>
      <c r="F16" s="7">
        <v>49.282699999999998</v>
      </c>
      <c r="G16" s="7">
        <v>-123.1207</v>
      </c>
      <c r="H16" s="7">
        <v>510</v>
      </c>
      <c r="I16" s="7">
        <v>317</v>
      </c>
      <c r="J16" s="8" t="str">
        <f t="shared" si="0"/>
        <v>Bus</v>
      </c>
      <c r="K16" s="7">
        <v>10</v>
      </c>
      <c r="L16" s="9" t="str">
        <f t="shared" si="1"/>
        <v>short</v>
      </c>
      <c r="M16" s="9">
        <f t="shared" si="2"/>
        <v>51</v>
      </c>
    </row>
    <row r="17" spans="2:13" x14ac:dyDescent="0.35">
      <c r="B17" s="7" t="s">
        <v>11</v>
      </c>
      <c r="C17" s="7">
        <v>34.052199999999999</v>
      </c>
      <c r="D17" s="7">
        <v>-118.2437</v>
      </c>
      <c r="E17" s="7" t="s">
        <v>10</v>
      </c>
      <c r="F17" s="7">
        <v>40.712800000000001</v>
      </c>
      <c r="G17" s="7">
        <v>-74.006</v>
      </c>
      <c r="H17" s="7">
        <v>3949</v>
      </c>
      <c r="I17" s="7">
        <v>2454</v>
      </c>
      <c r="J17" s="8" t="str">
        <f t="shared" si="0"/>
        <v>Bullet train</v>
      </c>
      <c r="K17" s="7">
        <v>5.5</v>
      </c>
      <c r="L17" s="9" t="str">
        <f t="shared" si="1"/>
        <v>to-long</v>
      </c>
      <c r="M17" s="9">
        <f t="shared" si="2"/>
        <v>718</v>
      </c>
    </row>
    <row r="18" spans="2:13" x14ac:dyDescent="0.35">
      <c r="B18" s="7" t="s">
        <v>13</v>
      </c>
      <c r="C18" s="7">
        <v>47.606200000000001</v>
      </c>
      <c r="D18" s="7">
        <v>-122.3321</v>
      </c>
      <c r="E18" s="7" t="s">
        <v>12</v>
      </c>
      <c r="F18" s="7">
        <v>37.774900000000002</v>
      </c>
      <c r="G18" s="7">
        <v>-122.4194</v>
      </c>
      <c r="H18" s="7">
        <v>1307</v>
      </c>
      <c r="I18" s="7">
        <v>813</v>
      </c>
      <c r="J18" s="8" t="str">
        <f t="shared" si="0"/>
        <v>car</v>
      </c>
      <c r="K18" s="7">
        <v>12</v>
      </c>
      <c r="L18" s="9" t="str">
        <f t="shared" si="1"/>
        <v>far</v>
      </c>
      <c r="M18" s="9">
        <f t="shared" si="2"/>
        <v>109</v>
      </c>
    </row>
    <row r="19" spans="2:13" x14ac:dyDescent="0.35">
      <c r="B19" s="7" t="s">
        <v>15</v>
      </c>
      <c r="C19" s="7">
        <v>25.761700000000001</v>
      </c>
      <c r="D19" s="7">
        <v>-80.191800000000001</v>
      </c>
      <c r="E19" s="7" t="s">
        <v>14</v>
      </c>
      <c r="F19" s="7">
        <v>41.878100000000003</v>
      </c>
      <c r="G19" s="7">
        <v>-87.629800000000003</v>
      </c>
      <c r="H19" s="7">
        <v>2018</v>
      </c>
      <c r="I19" s="7">
        <v>1255</v>
      </c>
      <c r="J19" s="8" t="str">
        <f t="shared" si="0"/>
        <v>Train</v>
      </c>
      <c r="K19" s="7">
        <v>25</v>
      </c>
      <c r="L19" s="9" t="str">
        <f t="shared" si="1"/>
        <v>long</v>
      </c>
      <c r="M19" s="9">
        <f t="shared" si="2"/>
        <v>81</v>
      </c>
    </row>
    <row r="20" spans="2:13" x14ac:dyDescent="0.35">
      <c r="B20" s="7" t="s">
        <v>18</v>
      </c>
      <c r="C20" s="7">
        <v>38.907200000000003</v>
      </c>
      <c r="D20" s="7">
        <v>-77.037000000000006</v>
      </c>
      <c r="E20" s="7" t="s">
        <v>17</v>
      </c>
      <c r="F20" s="7">
        <v>42.360100000000003</v>
      </c>
      <c r="G20" s="7">
        <v>-71.058899999999994</v>
      </c>
      <c r="H20" s="7">
        <v>725</v>
      </c>
      <c r="I20" s="7">
        <v>450</v>
      </c>
      <c r="J20" s="8" t="str">
        <f t="shared" si="0"/>
        <v>Bus</v>
      </c>
      <c r="K20" s="7">
        <v>9</v>
      </c>
      <c r="L20" s="9" t="str">
        <f t="shared" si="1"/>
        <v>short</v>
      </c>
      <c r="M20" s="9">
        <f t="shared" si="2"/>
        <v>81</v>
      </c>
    </row>
    <row r="21" spans="2:13" x14ac:dyDescent="0.35">
      <c r="B21" s="7" t="s">
        <v>21</v>
      </c>
      <c r="C21" s="7">
        <v>39.739199999999997</v>
      </c>
      <c r="D21" s="7">
        <v>-104.9903</v>
      </c>
      <c r="E21" s="7" t="s">
        <v>20</v>
      </c>
      <c r="F21" s="7">
        <v>29.760400000000001</v>
      </c>
      <c r="G21" s="7">
        <v>-95.369799999999998</v>
      </c>
      <c r="H21" s="7">
        <v>1420</v>
      </c>
      <c r="I21" s="7">
        <v>882</v>
      </c>
      <c r="J21" s="8" t="str">
        <f t="shared" si="0"/>
        <v>car</v>
      </c>
      <c r="K21" s="7">
        <v>2.5</v>
      </c>
      <c r="L21" s="9" t="str">
        <f t="shared" si="1"/>
        <v>far</v>
      </c>
      <c r="M21" s="9">
        <f t="shared" si="2"/>
        <v>568</v>
      </c>
    </row>
    <row r="22" spans="2:13" x14ac:dyDescent="0.35">
      <c r="B22" s="7" t="s">
        <v>23</v>
      </c>
      <c r="C22" s="7">
        <v>36.106900000000003</v>
      </c>
      <c r="D22" s="7">
        <v>-112.1129</v>
      </c>
      <c r="E22" s="7" t="s">
        <v>22</v>
      </c>
      <c r="F22" s="7">
        <v>36.169899999999998</v>
      </c>
      <c r="G22" s="7">
        <v>-115.13979999999999</v>
      </c>
      <c r="H22" s="7">
        <v>439</v>
      </c>
      <c r="I22" s="7">
        <v>273</v>
      </c>
      <c r="J22" s="8" t="str">
        <f t="shared" si="0"/>
        <v>Bike</v>
      </c>
      <c r="K22" s="7">
        <v>5</v>
      </c>
      <c r="L22" s="9" t="str">
        <f t="shared" si="1"/>
        <v>short</v>
      </c>
      <c r="M22" s="9">
        <f t="shared" si="2"/>
        <v>88</v>
      </c>
    </row>
    <row r="23" spans="2:13" x14ac:dyDescent="0.35">
      <c r="B23" s="7" t="s">
        <v>25</v>
      </c>
      <c r="C23" s="7">
        <v>36.162700000000001</v>
      </c>
      <c r="D23" s="7">
        <v>-86.781599999999997</v>
      </c>
      <c r="E23" s="7" t="s">
        <v>24</v>
      </c>
      <c r="F23" s="7">
        <v>33.749000000000002</v>
      </c>
      <c r="G23" s="7">
        <v>-84.388000000000005</v>
      </c>
      <c r="H23" s="7">
        <v>379</v>
      </c>
      <c r="I23" s="7">
        <v>236</v>
      </c>
      <c r="J23" s="8" t="str">
        <f t="shared" si="0"/>
        <v>Bike</v>
      </c>
      <c r="K23" s="7">
        <v>4.5</v>
      </c>
      <c r="L23" s="9" t="str">
        <f t="shared" si="1"/>
        <v>short</v>
      </c>
      <c r="M23" s="9">
        <f t="shared" si="2"/>
        <v>85</v>
      </c>
    </row>
    <row r="24" spans="2:13" x14ac:dyDescent="0.35">
      <c r="B24" s="7" t="s">
        <v>27</v>
      </c>
      <c r="C24" s="7">
        <v>29.9511</v>
      </c>
      <c r="D24" s="7">
        <v>-90.0715</v>
      </c>
      <c r="E24" s="7" t="s">
        <v>26</v>
      </c>
      <c r="F24" s="7">
        <v>32.776699999999998</v>
      </c>
      <c r="G24" s="7">
        <v>-96.796999999999997</v>
      </c>
      <c r="H24" s="7">
        <v>711</v>
      </c>
      <c r="I24" s="7">
        <v>442</v>
      </c>
      <c r="J24" s="8" t="str">
        <f t="shared" si="0"/>
        <v>Bus</v>
      </c>
      <c r="K24" s="7">
        <v>8</v>
      </c>
      <c r="L24" s="9" t="str">
        <f t="shared" si="1"/>
        <v>short</v>
      </c>
      <c r="M24" s="9">
        <f t="shared" si="2"/>
        <v>89</v>
      </c>
    </row>
    <row r="25" spans="2:13" x14ac:dyDescent="0.35">
      <c r="B25" s="7" t="s">
        <v>29</v>
      </c>
      <c r="C25" s="7">
        <v>33.448399999999999</v>
      </c>
      <c r="D25" s="7">
        <v>-112.074</v>
      </c>
      <c r="E25" s="7" t="s">
        <v>28</v>
      </c>
      <c r="F25" s="7">
        <v>32.715699999999998</v>
      </c>
      <c r="G25" s="7">
        <v>-117.1611</v>
      </c>
      <c r="H25" s="7">
        <v>502</v>
      </c>
      <c r="I25" s="7">
        <v>312</v>
      </c>
      <c r="J25" s="8" t="str">
        <f t="shared" si="0"/>
        <v>Bus</v>
      </c>
      <c r="K25" s="7">
        <v>6</v>
      </c>
      <c r="L25" s="9" t="str">
        <f t="shared" si="1"/>
        <v>short</v>
      </c>
      <c r="M25" s="9">
        <f t="shared" si="2"/>
        <v>84</v>
      </c>
    </row>
    <row r="26" spans="2:13" x14ac:dyDescent="0.35">
      <c r="B26" s="7" t="s">
        <v>31</v>
      </c>
      <c r="C26" s="7">
        <v>49.282699999999998</v>
      </c>
      <c r="D26" s="7">
        <v>-123.1207</v>
      </c>
      <c r="E26" s="7" t="s">
        <v>30</v>
      </c>
      <c r="F26" s="7">
        <v>45.505099999999999</v>
      </c>
      <c r="G26" s="7">
        <v>-122.675</v>
      </c>
      <c r="H26" s="7">
        <v>510</v>
      </c>
      <c r="I26" s="7">
        <v>317</v>
      </c>
      <c r="J26" s="8" t="str">
        <f t="shared" si="0"/>
        <v>Bus</v>
      </c>
      <c r="K26" s="7">
        <v>10</v>
      </c>
      <c r="L26" s="9" t="str">
        <f t="shared" si="1"/>
        <v>short</v>
      </c>
      <c r="M26" s="9">
        <f t="shared" si="2"/>
        <v>51</v>
      </c>
    </row>
    <row r="27" spans="2:13" x14ac:dyDescent="0.35">
      <c r="B27" s="7" t="s">
        <v>12</v>
      </c>
      <c r="C27" s="7">
        <v>37.774900000000002</v>
      </c>
      <c r="D27" s="7">
        <v>-122.4194</v>
      </c>
      <c r="E27" s="7" t="s">
        <v>11</v>
      </c>
      <c r="F27" s="7">
        <v>34.052199999999999</v>
      </c>
      <c r="G27" s="7">
        <v>-118.2437</v>
      </c>
      <c r="H27" s="7">
        <v>615</v>
      </c>
      <c r="I27" s="7">
        <v>382</v>
      </c>
      <c r="J27" s="8" t="str">
        <f t="shared" si="0"/>
        <v>Bus</v>
      </c>
      <c r="K27" s="7">
        <v>1.5</v>
      </c>
      <c r="L27" s="9" t="str">
        <f t="shared" si="1"/>
        <v>short</v>
      </c>
      <c r="M27" s="9">
        <f t="shared" si="2"/>
        <v>410</v>
      </c>
    </row>
    <row r="28" spans="2:13" x14ac:dyDescent="0.35">
      <c r="B28" s="7" t="s">
        <v>13</v>
      </c>
      <c r="C28" s="7">
        <v>47.606200000000001</v>
      </c>
      <c r="D28" s="7">
        <v>-122.3321</v>
      </c>
      <c r="E28" s="7" t="s">
        <v>30</v>
      </c>
      <c r="F28" s="7">
        <v>45.505099999999999</v>
      </c>
      <c r="G28" s="7">
        <v>-122.675</v>
      </c>
      <c r="H28" s="7">
        <v>279</v>
      </c>
      <c r="I28" s="7">
        <v>173</v>
      </c>
      <c r="J28" s="8" t="str">
        <f t="shared" si="0"/>
        <v>Bike</v>
      </c>
      <c r="K28" s="7">
        <v>4</v>
      </c>
      <c r="L28" s="9" t="str">
        <f t="shared" si="1"/>
        <v>short</v>
      </c>
      <c r="M28" s="9">
        <f t="shared" si="2"/>
        <v>70</v>
      </c>
    </row>
    <row r="29" spans="2:13" x14ac:dyDescent="0.35">
      <c r="B29" s="7" t="s">
        <v>15</v>
      </c>
      <c r="C29" s="7">
        <v>25.761700000000001</v>
      </c>
      <c r="D29" s="7">
        <v>-80.191800000000001</v>
      </c>
      <c r="E29" s="7" t="s">
        <v>10</v>
      </c>
      <c r="F29" s="7">
        <v>40.712800000000001</v>
      </c>
      <c r="G29" s="7">
        <v>-74.006</v>
      </c>
      <c r="H29" s="7">
        <v>1754</v>
      </c>
      <c r="I29" s="7">
        <v>1091</v>
      </c>
      <c r="J29" s="8" t="str">
        <f t="shared" si="0"/>
        <v>car</v>
      </c>
      <c r="K29" s="7">
        <v>20</v>
      </c>
      <c r="L29" s="9" t="str">
        <f t="shared" si="1"/>
        <v>far</v>
      </c>
      <c r="M29" s="9">
        <f t="shared" si="2"/>
        <v>88</v>
      </c>
    </row>
    <row r="30" spans="2:13" x14ac:dyDescent="0.35">
      <c r="B30" s="7" t="s">
        <v>18</v>
      </c>
      <c r="C30" s="7">
        <v>38.907200000000003</v>
      </c>
      <c r="D30" s="7">
        <v>-77.037000000000006</v>
      </c>
      <c r="E30" s="7" t="s">
        <v>14</v>
      </c>
      <c r="F30" s="7">
        <v>41.878100000000003</v>
      </c>
      <c r="G30" s="7">
        <v>-87.629800000000003</v>
      </c>
      <c r="H30" s="7">
        <v>925</v>
      </c>
      <c r="I30" s="7">
        <v>574</v>
      </c>
      <c r="J30" s="8" t="str">
        <f t="shared" si="0"/>
        <v>Bus</v>
      </c>
      <c r="K30" s="7">
        <v>14</v>
      </c>
      <c r="L30" s="9" t="str">
        <f t="shared" si="1"/>
        <v>short</v>
      </c>
      <c r="M30" s="9">
        <f t="shared" si="2"/>
        <v>67</v>
      </c>
    </row>
    <row r="31" spans="2:13" x14ac:dyDescent="0.35">
      <c r="B31" s="7" t="s">
        <v>21</v>
      </c>
      <c r="C31" s="7">
        <v>39.739199999999997</v>
      </c>
      <c r="D31" s="7">
        <v>-104.9903</v>
      </c>
      <c r="E31" s="7" t="s">
        <v>12</v>
      </c>
      <c r="F31" s="7">
        <v>37.774900000000002</v>
      </c>
      <c r="G31" s="7">
        <v>-122.4194</v>
      </c>
      <c r="H31" s="7">
        <v>1643</v>
      </c>
      <c r="I31" s="7">
        <v>1021</v>
      </c>
      <c r="J31" s="8" t="str">
        <f t="shared" si="0"/>
        <v>car</v>
      </c>
      <c r="K31" s="7">
        <v>3</v>
      </c>
      <c r="L31" s="9" t="str">
        <f t="shared" si="1"/>
        <v>far</v>
      </c>
      <c r="M31" s="9">
        <f t="shared" si="2"/>
        <v>548</v>
      </c>
    </row>
    <row r="32" spans="2:13" x14ac:dyDescent="0.35">
      <c r="B32" s="7" t="s">
        <v>23</v>
      </c>
      <c r="C32" s="7">
        <v>36.106900000000003</v>
      </c>
      <c r="D32" s="7">
        <v>-112.1129</v>
      </c>
      <c r="E32" s="7" t="s">
        <v>22</v>
      </c>
      <c r="F32" s="7">
        <v>36.169899999999998</v>
      </c>
      <c r="G32" s="7">
        <v>-115.13979999999999</v>
      </c>
      <c r="H32" s="7">
        <v>439</v>
      </c>
      <c r="I32" s="7">
        <v>273</v>
      </c>
      <c r="J32" s="8" t="str">
        <f t="shared" si="0"/>
        <v>Bike</v>
      </c>
      <c r="K32" s="7">
        <v>5</v>
      </c>
      <c r="L32" s="9" t="str">
        <f t="shared" si="1"/>
        <v>short</v>
      </c>
      <c r="M32" s="9">
        <f t="shared" si="2"/>
        <v>88</v>
      </c>
    </row>
    <row r="33" spans="2:13" x14ac:dyDescent="0.35">
      <c r="B33" s="7" t="s">
        <v>25</v>
      </c>
      <c r="C33" s="7">
        <v>36.162700000000001</v>
      </c>
      <c r="D33" s="7">
        <v>-86.781599999999997</v>
      </c>
      <c r="E33" s="7" t="s">
        <v>24</v>
      </c>
      <c r="F33" s="7">
        <v>33.749000000000002</v>
      </c>
      <c r="G33" s="7">
        <v>-84.388000000000005</v>
      </c>
      <c r="H33" s="7">
        <v>379</v>
      </c>
      <c r="I33" s="7">
        <v>236</v>
      </c>
      <c r="J33" s="8" t="str">
        <f t="shared" si="0"/>
        <v>Bike</v>
      </c>
      <c r="K33" s="7">
        <v>4.5</v>
      </c>
      <c r="L33" s="9" t="str">
        <f t="shared" si="1"/>
        <v>short</v>
      </c>
      <c r="M33" s="9">
        <f t="shared" si="2"/>
        <v>85</v>
      </c>
    </row>
    <row r="34" spans="2:13" x14ac:dyDescent="0.35">
      <c r="B34" s="7" t="s">
        <v>26</v>
      </c>
      <c r="C34" s="7">
        <v>32.776699999999998</v>
      </c>
      <c r="D34" s="7">
        <v>-96.796999999999997</v>
      </c>
      <c r="E34" s="7" t="s">
        <v>27</v>
      </c>
      <c r="F34" s="7">
        <v>29.9511</v>
      </c>
      <c r="G34" s="7">
        <v>-90.0715</v>
      </c>
      <c r="H34" s="7">
        <v>711</v>
      </c>
      <c r="I34" s="7">
        <v>442</v>
      </c>
      <c r="J34" s="8" t="str">
        <f t="shared" si="0"/>
        <v>Bus</v>
      </c>
      <c r="K34" s="7">
        <v>8</v>
      </c>
      <c r="L34" s="9" t="str">
        <f t="shared" si="1"/>
        <v>short</v>
      </c>
      <c r="M34" s="9">
        <f t="shared" si="2"/>
        <v>89</v>
      </c>
    </row>
    <row r="35" spans="2:13" x14ac:dyDescent="0.35">
      <c r="B35" s="7" t="s">
        <v>28</v>
      </c>
      <c r="C35" s="7">
        <v>32.715699999999998</v>
      </c>
      <c r="D35" s="7">
        <v>-117.1611</v>
      </c>
      <c r="E35" s="7" t="s">
        <v>29</v>
      </c>
      <c r="F35" s="7">
        <v>33.448399999999999</v>
      </c>
      <c r="G35" s="7">
        <v>-112.074</v>
      </c>
      <c r="H35" s="7">
        <v>502</v>
      </c>
      <c r="I35" s="7">
        <v>312</v>
      </c>
      <c r="J35" s="8" t="str">
        <f t="shared" si="0"/>
        <v>Bus</v>
      </c>
      <c r="K35" s="7">
        <v>6</v>
      </c>
      <c r="L35" s="9" t="str">
        <f t="shared" si="1"/>
        <v>short</v>
      </c>
      <c r="M35" s="9">
        <f t="shared" si="2"/>
        <v>84</v>
      </c>
    </row>
    <row r="36" spans="2:13" x14ac:dyDescent="0.35">
      <c r="B36" s="7" t="s">
        <v>30</v>
      </c>
      <c r="C36" s="7">
        <v>45.505099999999999</v>
      </c>
      <c r="D36" s="7">
        <v>-122.675</v>
      </c>
      <c r="E36" s="7" t="s">
        <v>31</v>
      </c>
      <c r="F36" s="7">
        <v>49.282699999999998</v>
      </c>
      <c r="G36" s="7">
        <v>-123.1207</v>
      </c>
      <c r="H36" s="7">
        <v>510</v>
      </c>
      <c r="I36" s="7">
        <v>317</v>
      </c>
      <c r="J36" s="8" t="str">
        <f t="shared" si="0"/>
        <v>Bus</v>
      </c>
      <c r="K36" s="7">
        <v>10</v>
      </c>
      <c r="L36" s="9" t="str">
        <f t="shared" si="1"/>
        <v>short</v>
      </c>
      <c r="M36" s="9">
        <f t="shared" si="2"/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4589-952B-4596-A2F2-8000060E1D8F}">
  <dimension ref="A3:B24"/>
  <sheetViews>
    <sheetView zoomScale="64" zoomScaleNormal="53" workbookViewId="0">
      <selection activeCell="J25" sqref="J25"/>
    </sheetView>
  </sheetViews>
  <sheetFormatPr defaultRowHeight="14.5" x14ac:dyDescent="0.35"/>
  <cols>
    <col min="1" max="1" width="14.453125" bestFit="1" customWidth="1"/>
    <col min="2" max="2" width="18.90625" bestFit="1" customWidth="1"/>
  </cols>
  <sheetData>
    <row r="3" spans="1:2" x14ac:dyDescent="0.35">
      <c r="A3" s="11" t="s">
        <v>38</v>
      </c>
      <c r="B3" t="s">
        <v>36</v>
      </c>
    </row>
    <row r="4" spans="1:2" x14ac:dyDescent="0.35">
      <c r="A4" s="12" t="s">
        <v>24</v>
      </c>
      <c r="B4">
        <v>379</v>
      </c>
    </row>
    <row r="5" spans="1:2" x14ac:dyDescent="0.35">
      <c r="A5" s="12" t="s">
        <v>17</v>
      </c>
      <c r="B5">
        <v>725</v>
      </c>
    </row>
    <row r="6" spans="1:2" x14ac:dyDescent="0.35">
      <c r="A6" s="12" t="s">
        <v>14</v>
      </c>
      <c r="B6">
        <v>2018</v>
      </c>
    </row>
    <row r="7" spans="1:2" x14ac:dyDescent="0.35">
      <c r="A7" s="12" t="s">
        <v>26</v>
      </c>
      <c r="B7">
        <v>1422</v>
      </c>
    </row>
    <row r="8" spans="1:2" x14ac:dyDescent="0.35">
      <c r="A8" s="12" t="s">
        <v>21</v>
      </c>
      <c r="B8">
        <v>3063</v>
      </c>
    </row>
    <row r="9" spans="1:2" x14ac:dyDescent="0.35">
      <c r="A9" s="12" t="s">
        <v>23</v>
      </c>
      <c r="B9">
        <v>878</v>
      </c>
    </row>
    <row r="10" spans="1:2" x14ac:dyDescent="0.35">
      <c r="A10" s="12" t="s">
        <v>20</v>
      </c>
      <c r="B10">
        <v>1420</v>
      </c>
    </row>
    <row r="11" spans="1:2" x14ac:dyDescent="0.35">
      <c r="A11" s="12" t="s">
        <v>22</v>
      </c>
      <c r="B11">
        <v>439</v>
      </c>
    </row>
    <row r="12" spans="1:2" x14ac:dyDescent="0.35">
      <c r="A12" s="12" t="s">
        <v>11</v>
      </c>
      <c r="B12">
        <v>3949</v>
      </c>
    </row>
    <row r="13" spans="1:2" x14ac:dyDescent="0.35">
      <c r="A13" s="12" t="s">
        <v>15</v>
      </c>
      <c r="B13">
        <v>3772</v>
      </c>
    </row>
    <row r="14" spans="1:2" x14ac:dyDescent="0.35">
      <c r="A14" s="12" t="s">
        <v>25</v>
      </c>
      <c r="B14">
        <v>758</v>
      </c>
    </row>
    <row r="15" spans="1:2" x14ac:dyDescent="0.35">
      <c r="A15" s="12" t="s">
        <v>27</v>
      </c>
      <c r="B15">
        <v>711</v>
      </c>
    </row>
    <row r="16" spans="1:2" x14ac:dyDescent="0.35">
      <c r="A16" s="12" t="s">
        <v>10</v>
      </c>
      <c r="B16">
        <v>3949</v>
      </c>
    </row>
    <row r="17" spans="1:2" x14ac:dyDescent="0.35">
      <c r="A17" s="12" t="s">
        <v>29</v>
      </c>
      <c r="B17">
        <v>502</v>
      </c>
    </row>
    <row r="18" spans="1:2" x14ac:dyDescent="0.35">
      <c r="A18" s="12" t="s">
        <v>30</v>
      </c>
      <c r="B18">
        <v>1020</v>
      </c>
    </row>
    <row r="19" spans="1:2" x14ac:dyDescent="0.35">
      <c r="A19" s="12" t="s">
        <v>28</v>
      </c>
      <c r="B19">
        <v>1004</v>
      </c>
    </row>
    <row r="20" spans="1:2" x14ac:dyDescent="0.35">
      <c r="A20" s="12" t="s">
        <v>12</v>
      </c>
      <c r="B20">
        <v>1922</v>
      </c>
    </row>
    <row r="21" spans="1:2" x14ac:dyDescent="0.35">
      <c r="A21" s="12" t="s">
        <v>13</v>
      </c>
      <c r="B21">
        <v>1586</v>
      </c>
    </row>
    <row r="22" spans="1:2" x14ac:dyDescent="0.35">
      <c r="A22" s="12" t="s">
        <v>31</v>
      </c>
      <c r="B22">
        <v>510</v>
      </c>
    </row>
    <row r="23" spans="1:2" x14ac:dyDescent="0.35">
      <c r="A23" s="12" t="s">
        <v>18</v>
      </c>
      <c r="B23">
        <v>1650</v>
      </c>
    </row>
    <row r="24" spans="1:2" x14ac:dyDescent="0.35">
      <c r="A24" s="12" t="s">
        <v>43</v>
      </c>
      <c r="B24">
        <v>31677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68ED-BBEF-42A3-85F0-9BC991B0C29F}">
  <dimension ref="A3:B8"/>
  <sheetViews>
    <sheetView zoomScale="79" workbookViewId="0">
      <selection activeCell="H21" sqref="H21"/>
    </sheetView>
  </sheetViews>
  <sheetFormatPr defaultRowHeight="14.5" x14ac:dyDescent="0.35"/>
  <cols>
    <col min="1" max="1" width="12.453125" bestFit="1" customWidth="1"/>
    <col min="2" max="2" width="18" bestFit="1" customWidth="1"/>
  </cols>
  <sheetData>
    <row r="3" spans="1:2" x14ac:dyDescent="0.35">
      <c r="A3" s="11" t="s">
        <v>38</v>
      </c>
      <c r="B3" t="s">
        <v>49</v>
      </c>
    </row>
    <row r="4" spans="1:2" x14ac:dyDescent="0.35">
      <c r="A4" s="12" t="s">
        <v>39</v>
      </c>
      <c r="B4">
        <v>6</v>
      </c>
    </row>
    <row r="5" spans="1:2" x14ac:dyDescent="0.35">
      <c r="A5" s="12" t="s">
        <v>40</v>
      </c>
      <c r="B5">
        <v>2</v>
      </c>
    </row>
    <row r="6" spans="1:2" x14ac:dyDescent="0.35">
      <c r="A6" s="12" t="s">
        <v>41</v>
      </c>
      <c r="B6">
        <v>20</v>
      </c>
    </row>
    <row r="7" spans="1:2" x14ac:dyDescent="0.35">
      <c r="A7" s="12" t="s">
        <v>42</v>
      </c>
      <c r="B7">
        <v>2</v>
      </c>
    </row>
    <row r="8" spans="1:2" x14ac:dyDescent="0.35">
      <c r="A8" s="12" t="s">
        <v>43</v>
      </c>
      <c r="B8">
        <v>30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B839-FF2B-4AFC-8B3B-03D0F6DF3A7C}">
  <dimension ref="A3:B9"/>
  <sheetViews>
    <sheetView workbookViewId="0">
      <selection activeCell="L12" sqref="L12"/>
    </sheetView>
  </sheetViews>
  <sheetFormatPr defaultRowHeight="14.5" x14ac:dyDescent="0.35"/>
  <cols>
    <col min="1" max="1" width="12.453125" bestFit="1" customWidth="1"/>
    <col min="2" max="2" width="20.81640625" bestFit="1" customWidth="1"/>
  </cols>
  <sheetData>
    <row r="3" spans="1:2" x14ac:dyDescent="0.35">
      <c r="A3" s="11" t="s">
        <v>38</v>
      </c>
      <c r="B3" t="s">
        <v>48</v>
      </c>
    </row>
    <row r="4" spans="1:2" x14ac:dyDescent="0.35">
      <c r="A4" s="12" t="s">
        <v>45</v>
      </c>
      <c r="B4">
        <v>32.5</v>
      </c>
    </row>
    <row r="5" spans="1:2" x14ac:dyDescent="0.35">
      <c r="A5" s="12" t="s">
        <v>46</v>
      </c>
      <c r="B5">
        <v>11</v>
      </c>
    </row>
    <row r="6" spans="1:2" x14ac:dyDescent="0.35">
      <c r="A6" s="12" t="s">
        <v>19</v>
      </c>
      <c r="B6">
        <v>105.5</v>
      </c>
    </row>
    <row r="7" spans="1:2" x14ac:dyDescent="0.35">
      <c r="A7" s="12" t="s">
        <v>44</v>
      </c>
      <c r="B7">
        <v>52</v>
      </c>
    </row>
    <row r="8" spans="1:2" x14ac:dyDescent="0.35">
      <c r="A8" s="12" t="s">
        <v>16</v>
      </c>
      <c r="B8">
        <v>50</v>
      </c>
    </row>
    <row r="9" spans="1:2" x14ac:dyDescent="0.35">
      <c r="A9" s="12" t="s">
        <v>43</v>
      </c>
      <c r="B9">
        <v>251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6A1C-8DF6-403D-AF3F-A26477523997}">
  <dimension ref="A3:B24"/>
  <sheetViews>
    <sheetView topLeftCell="A3" zoomScale="77" zoomScaleNormal="85" workbookViewId="0">
      <selection activeCell="O16" sqref="O16"/>
    </sheetView>
  </sheetViews>
  <sheetFormatPr defaultRowHeight="14.5" x14ac:dyDescent="0.35"/>
  <cols>
    <col min="1" max="1" width="16.54296875" bestFit="1" customWidth="1"/>
    <col min="2" max="2" width="20.90625" bestFit="1" customWidth="1"/>
  </cols>
  <sheetData>
    <row r="3" spans="1:2" x14ac:dyDescent="0.35">
      <c r="A3" s="11" t="s">
        <v>38</v>
      </c>
      <c r="B3" t="s">
        <v>47</v>
      </c>
    </row>
    <row r="4" spans="1:2" x14ac:dyDescent="0.35">
      <c r="A4" s="12" t="s">
        <v>24</v>
      </c>
      <c r="B4">
        <v>236</v>
      </c>
    </row>
    <row r="5" spans="1:2" x14ac:dyDescent="0.35">
      <c r="A5" s="12" t="s">
        <v>17</v>
      </c>
      <c r="B5">
        <v>450</v>
      </c>
    </row>
    <row r="6" spans="1:2" x14ac:dyDescent="0.35">
      <c r="A6" s="12" t="s">
        <v>14</v>
      </c>
      <c r="B6">
        <v>1255</v>
      </c>
    </row>
    <row r="7" spans="1:2" x14ac:dyDescent="0.35">
      <c r="A7" s="12" t="s">
        <v>26</v>
      </c>
      <c r="B7">
        <v>884</v>
      </c>
    </row>
    <row r="8" spans="1:2" x14ac:dyDescent="0.35">
      <c r="A8" s="12" t="s">
        <v>21</v>
      </c>
      <c r="B8">
        <v>1903</v>
      </c>
    </row>
    <row r="9" spans="1:2" x14ac:dyDescent="0.35">
      <c r="A9" s="12" t="s">
        <v>23</v>
      </c>
      <c r="B9">
        <v>546</v>
      </c>
    </row>
    <row r="10" spans="1:2" x14ac:dyDescent="0.35">
      <c r="A10" s="12" t="s">
        <v>20</v>
      </c>
      <c r="B10">
        <v>882</v>
      </c>
    </row>
    <row r="11" spans="1:2" x14ac:dyDescent="0.35">
      <c r="A11" s="12" t="s">
        <v>22</v>
      </c>
      <c r="B11">
        <v>273</v>
      </c>
    </row>
    <row r="12" spans="1:2" x14ac:dyDescent="0.35">
      <c r="A12" s="12" t="s">
        <v>11</v>
      </c>
      <c r="B12">
        <v>2454</v>
      </c>
    </row>
    <row r="13" spans="1:2" x14ac:dyDescent="0.35">
      <c r="A13" s="12" t="s">
        <v>15</v>
      </c>
      <c r="B13">
        <v>2346</v>
      </c>
    </row>
    <row r="14" spans="1:2" x14ac:dyDescent="0.35">
      <c r="A14" s="12" t="s">
        <v>25</v>
      </c>
      <c r="B14">
        <v>472</v>
      </c>
    </row>
    <row r="15" spans="1:2" x14ac:dyDescent="0.35">
      <c r="A15" s="12" t="s">
        <v>27</v>
      </c>
      <c r="B15">
        <v>442</v>
      </c>
    </row>
    <row r="16" spans="1:2" x14ac:dyDescent="0.35">
      <c r="A16" s="12" t="s">
        <v>10</v>
      </c>
      <c r="B16">
        <v>2454</v>
      </c>
    </row>
    <row r="17" spans="1:2" x14ac:dyDescent="0.35">
      <c r="A17" s="12" t="s">
        <v>29</v>
      </c>
      <c r="B17">
        <v>312</v>
      </c>
    </row>
    <row r="18" spans="1:2" x14ac:dyDescent="0.35">
      <c r="A18" s="12" t="s">
        <v>30</v>
      </c>
      <c r="B18">
        <v>634</v>
      </c>
    </row>
    <row r="19" spans="1:2" x14ac:dyDescent="0.35">
      <c r="A19" s="12" t="s">
        <v>28</v>
      </c>
      <c r="B19">
        <v>624</v>
      </c>
    </row>
    <row r="20" spans="1:2" x14ac:dyDescent="0.35">
      <c r="A20" s="12" t="s">
        <v>12</v>
      </c>
      <c r="B20">
        <v>1195</v>
      </c>
    </row>
    <row r="21" spans="1:2" x14ac:dyDescent="0.35">
      <c r="A21" s="12" t="s">
        <v>13</v>
      </c>
      <c r="B21">
        <v>986</v>
      </c>
    </row>
    <row r="22" spans="1:2" x14ac:dyDescent="0.35">
      <c r="A22" s="12" t="s">
        <v>31</v>
      </c>
      <c r="B22">
        <v>317</v>
      </c>
    </row>
    <row r="23" spans="1:2" x14ac:dyDescent="0.35">
      <c r="A23" s="12" t="s">
        <v>18</v>
      </c>
      <c r="B23">
        <v>1024</v>
      </c>
    </row>
    <row r="24" spans="1:2" x14ac:dyDescent="0.35">
      <c r="A24" s="12" t="s">
        <v>43</v>
      </c>
      <c r="B24">
        <v>19689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C6CA-B70F-401C-B132-90A4208183BE}">
  <dimension ref="A3:B9"/>
  <sheetViews>
    <sheetView zoomScaleNormal="100" workbookViewId="0">
      <selection activeCell="O14" sqref="O14"/>
    </sheetView>
  </sheetViews>
  <sheetFormatPr defaultRowHeight="14.5" x14ac:dyDescent="0.35"/>
  <cols>
    <col min="1" max="1" width="12.453125" bestFit="1" customWidth="1"/>
    <col min="2" max="2" width="20.36328125" bestFit="1" customWidth="1"/>
  </cols>
  <sheetData>
    <row r="3" spans="1:2" x14ac:dyDescent="0.35">
      <c r="A3" s="11" t="s">
        <v>38</v>
      </c>
      <c r="B3" t="s">
        <v>37</v>
      </c>
    </row>
    <row r="4" spans="1:2" x14ac:dyDescent="0.35">
      <c r="A4" s="12" t="s">
        <v>45</v>
      </c>
      <c r="B4">
        <v>589</v>
      </c>
    </row>
    <row r="5" spans="1:2" x14ac:dyDescent="0.35">
      <c r="A5" s="12" t="s">
        <v>46</v>
      </c>
      <c r="B5">
        <v>1436</v>
      </c>
    </row>
    <row r="6" spans="1:2" x14ac:dyDescent="0.35">
      <c r="A6" s="12" t="s">
        <v>19</v>
      </c>
      <c r="B6">
        <v>1311</v>
      </c>
    </row>
    <row r="7" spans="1:2" x14ac:dyDescent="0.35">
      <c r="A7" s="12" t="s">
        <v>44</v>
      </c>
      <c r="B7">
        <v>1990</v>
      </c>
    </row>
    <row r="8" spans="1:2" x14ac:dyDescent="0.35">
      <c r="A8" s="12" t="s">
        <v>16</v>
      </c>
      <c r="B8">
        <v>162</v>
      </c>
    </row>
    <row r="9" spans="1:2" x14ac:dyDescent="0.35">
      <c r="A9" s="12" t="s">
        <v>43</v>
      </c>
      <c r="B9">
        <v>5488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Distance Related</vt:lpstr>
      <vt:lpstr>Sheet1</vt:lpstr>
      <vt:lpstr>sum of distance by area</vt:lpstr>
      <vt:lpstr>count of each distance type</vt:lpstr>
      <vt:lpstr>sum of duration per vehicle</vt:lpstr>
      <vt:lpstr>sum of distance in miles</vt:lpstr>
      <vt:lpstr>average speed per 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sutharsanan G</cp:lastModifiedBy>
  <dcterms:created xsi:type="dcterms:W3CDTF">2024-02-20T01:26:38Z</dcterms:created>
  <dcterms:modified xsi:type="dcterms:W3CDTF">2025-10-22T01:53:05Z</dcterms:modified>
</cp:coreProperties>
</file>