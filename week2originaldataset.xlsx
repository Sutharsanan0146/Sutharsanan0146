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ha\Downloads\"/>
    </mc:Choice>
  </mc:AlternateContent>
  <xr:revisionPtr revIDLastSave="0" documentId="8_{4B9ABBE7-4337-4982-91F1-E22DB07ABBAA}" xr6:coauthVersionLast="47" xr6:coauthVersionMax="47" xr10:uidLastSave="{00000000-0000-0000-0000-000000000000}"/>
  <bookViews>
    <workbookView xWindow="-110" yWindow="-110" windowWidth="19420" windowHeight="10300" xr2:uid="{9579A293-1387-4677-92EC-6D13B0159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1" l="1"/>
  <c r="P36" i="1"/>
  <c r="N36" i="1"/>
  <c r="Q35" i="1"/>
  <c r="P35" i="1"/>
  <c r="N35" i="1"/>
  <c r="Q34" i="1"/>
  <c r="P34" i="1"/>
  <c r="N34" i="1"/>
  <c r="Q33" i="1"/>
  <c r="P33" i="1"/>
  <c r="N33" i="1"/>
  <c r="Q32" i="1"/>
  <c r="P32" i="1"/>
  <c r="N32" i="1"/>
  <c r="Q31" i="1"/>
  <c r="P31" i="1"/>
  <c r="N31" i="1"/>
  <c r="Q30" i="1"/>
  <c r="P30" i="1"/>
  <c r="N30" i="1"/>
  <c r="Q29" i="1"/>
  <c r="P29" i="1"/>
  <c r="N29" i="1"/>
  <c r="Q28" i="1"/>
  <c r="P28" i="1"/>
  <c r="N28" i="1"/>
  <c r="Q27" i="1"/>
  <c r="P27" i="1"/>
  <c r="N27" i="1"/>
  <c r="Q26" i="1"/>
  <c r="P26" i="1"/>
  <c r="N26" i="1"/>
  <c r="Q25" i="1"/>
  <c r="P25" i="1"/>
  <c r="N25" i="1"/>
  <c r="Q24" i="1"/>
  <c r="P24" i="1"/>
  <c r="N24" i="1"/>
  <c r="Q23" i="1"/>
  <c r="P23" i="1"/>
  <c r="N23" i="1"/>
  <c r="Q22" i="1"/>
  <c r="P22" i="1"/>
  <c r="N22" i="1"/>
  <c r="Q21" i="1"/>
  <c r="P21" i="1"/>
  <c r="N21" i="1"/>
  <c r="Q20" i="1"/>
  <c r="P20" i="1"/>
  <c r="N20" i="1"/>
  <c r="Q19" i="1"/>
  <c r="P19" i="1"/>
  <c r="N19" i="1"/>
  <c r="Q18" i="1"/>
  <c r="P18" i="1"/>
  <c r="N18" i="1"/>
  <c r="Q17" i="1"/>
  <c r="P17" i="1"/>
  <c r="N17" i="1"/>
  <c r="Q16" i="1"/>
  <c r="P16" i="1"/>
  <c r="N16" i="1"/>
  <c r="Q15" i="1"/>
  <c r="P15" i="1"/>
  <c r="N15" i="1"/>
  <c r="Q14" i="1"/>
  <c r="P14" i="1"/>
  <c r="N14" i="1"/>
  <c r="Q13" i="1"/>
  <c r="P13" i="1"/>
  <c r="N13" i="1"/>
  <c r="Q12" i="1"/>
  <c r="P12" i="1"/>
  <c r="N12" i="1"/>
  <c r="Q11" i="1"/>
  <c r="P11" i="1"/>
  <c r="N11" i="1"/>
  <c r="Q10" i="1"/>
  <c r="P10" i="1"/>
  <c r="N10" i="1"/>
  <c r="Q9" i="1"/>
  <c r="P9" i="1"/>
  <c r="N9" i="1"/>
  <c r="Q8" i="1"/>
  <c r="P8" i="1"/>
  <c r="N8" i="1"/>
  <c r="Q7" i="1"/>
  <c r="P7" i="1"/>
  <c r="N7" i="1"/>
</calcChain>
</file>

<file path=xl/sharedStrings.xml><?xml version="1.0" encoding="utf-8"?>
<sst xmlns="http://schemas.openxmlformats.org/spreadsheetml/2006/main" count="72" uniqueCount="32">
  <si>
    <t>Source City</t>
  </si>
  <si>
    <t>Source Latitude</t>
  </si>
  <si>
    <t>Source Longitude</t>
  </si>
  <si>
    <t>Destination City</t>
  </si>
  <si>
    <t>Destination Latitude</t>
  </si>
  <si>
    <t>Destination Longitude</t>
  </si>
  <si>
    <t>Distance (km)</t>
  </si>
  <si>
    <t>Distance (miles)</t>
  </si>
  <si>
    <t>Travel Mode</t>
  </si>
  <si>
    <t>Duration (hours)</t>
  </si>
  <si>
    <t>Distance Type</t>
  </si>
  <si>
    <t>Avearage Speed</t>
  </si>
  <si>
    <t>New York</t>
  </si>
  <si>
    <t>Los Angeles</t>
  </si>
  <si>
    <t>San Francisco</t>
  </si>
  <si>
    <t>Seattle</t>
  </si>
  <si>
    <t>Chicago</t>
  </si>
  <si>
    <t>Miami</t>
  </si>
  <si>
    <t>Boston</t>
  </si>
  <si>
    <t>Washington D.C.</t>
  </si>
  <si>
    <t>Houston</t>
  </si>
  <si>
    <t>Denver</t>
  </si>
  <si>
    <t>Las Vegas</t>
  </si>
  <si>
    <t>Grand Canyon</t>
  </si>
  <si>
    <t>Atlanta</t>
  </si>
  <si>
    <t>Nashville</t>
  </si>
  <si>
    <t>Dallas</t>
  </si>
  <si>
    <t>New Orleans</t>
  </si>
  <si>
    <t>San Diego</t>
  </si>
  <si>
    <t>Phoenix</t>
  </si>
  <si>
    <t>Portland</t>
  </si>
  <si>
    <t>Vancouver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</si>
</sst>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2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9857-D47B-4CF2-90A4-9D86AF5539E9}">
  <dimension ref="F6:Q36"/>
  <sheetViews>
    <sheetView tabSelected="1" workbookViewId="0">
      <selection activeCell="F6" sqref="F6:Q36"/>
    </sheetView>
  </sheetViews>
  <sheetFormatPr defaultRowHeight="14.5" x14ac:dyDescent="0.35"/>
  <sheetData>
    <row r="6" spans="6:17" ht="62" x14ac:dyDescent="0.3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2" t="s">
        <v>10</v>
      </c>
      <c r="Q6" s="2" t="s">
        <v>11</v>
      </c>
    </row>
    <row r="7" spans="6:17" x14ac:dyDescent="0.35">
      <c r="F7" s="3" t="s">
        <v>12</v>
      </c>
      <c r="G7" s="3">
        <v>40.712800000000001</v>
      </c>
      <c r="H7" s="3">
        <v>-74.006</v>
      </c>
      <c r="I7" s="3" t="s">
        <v>13</v>
      </c>
      <c r="J7" s="3">
        <v>34.052199999999999</v>
      </c>
      <c r="K7" s="3">
        <v>-118.2437</v>
      </c>
      <c r="L7" s="3">
        <v>3949</v>
      </c>
      <c r="M7" s="3">
        <v>2454</v>
      </c>
      <c r="N7" s="4" t="str">
        <f>IF(L7&gt;=3000,"Bullet train",IF(L7&gt;=2000,"Train",IF(L7&gt;=1000,"car",IF(L7&gt;=500,"Bus","Bike"))))</f>
        <v>Bullet train</v>
      </c>
      <c r="O7" s="3">
        <v>5.5</v>
      </c>
      <c r="P7" s="5" t="str">
        <f>IF(L7&gt;=3000,"to-long",IF(L7&gt;=2000,"long",IF(L7&gt;=1000,"far","short")))</f>
        <v>to-long</v>
      </c>
      <c r="Q7" s="5">
        <f>ROUNDUP(L7/O7,0)</f>
        <v>718</v>
      </c>
    </row>
    <row r="8" spans="6:17" x14ac:dyDescent="0.35">
      <c r="F8" s="3" t="s">
        <v>14</v>
      </c>
      <c r="G8" s="3">
        <v>37.774900000000002</v>
      </c>
      <c r="H8" s="3">
        <v>-122.4194</v>
      </c>
      <c r="I8" s="3" t="s">
        <v>15</v>
      </c>
      <c r="J8" s="3">
        <v>47.606200000000001</v>
      </c>
      <c r="K8" s="3">
        <v>-122.3321</v>
      </c>
      <c r="L8" s="3">
        <v>1307</v>
      </c>
      <c r="M8" s="3">
        <v>813</v>
      </c>
      <c r="N8" s="4" t="str">
        <f t="shared" ref="N8:N36" si="0">IF(L8&gt;=3000,"Bullet train",IF(L8&gt;=2000,"Train",IF(L8&gt;=1000,"car",IF(L8&gt;=500,"Bus","Bike"))))</f>
        <v>car</v>
      </c>
      <c r="O8" s="3">
        <v>12</v>
      </c>
      <c r="P8" s="5" t="str">
        <f t="shared" ref="P8:P36" si="1">IF(L8&gt;=3000,"to-long",IF(L8&gt;=2000,"long",IF(L8&gt;=1000,"far","short")))</f>
        <v>far</v>
      </c>
      <c r="Q8" s="5">
        <f t="shared" ref="Q8:Q36" si="2">ROUNDUP(L8/O8,0)</f>
        <v>109</v>
      </c>
    </row>
    <row r="9" spans="6:17" x14ac:dyDescent="0.35">
      <c r="F9" s="3" t="s">
        <v>16</v>
      </c>
      <c r="G9" s="3">
        <v>41.878100000000003</v>
      </c>
      <c r="H9" s="3">
        <v>-87.629800000000003</v>
      </c>
      <c r="I9" s="3" t="s">
        <v>17</v>
      </c>
      <c r="J9" s="3">
        <v>25.761700000000001</v>
      </c>
      <c r="K9" s="3">
        <v>-80.191800000000001</v>
      </c>
      <c r="L9" s="3">
        <v>2018</v>
      </c>
      <c r="M9" s="3">
        <v>1255</v>
      </c>
      <c r="N9" s="4" t="str">
        <f t="shared" si="0"/>
        <v>Train</v>
      </c>
      <c r="O9" s="3">
        <v>25</v>
      </c>
      <c r="P9" s="5" t="str">
        <f t="shared" si="1"/>
        <v>long</v>
      </c>
      <c r="Q9" s="5">
        <f t="shared" si="2"/>
        <v>81</v>
      </c>
    </row>
    <row r="10" spans="6:17" x14ac:dyDescent="0.35">
      <c r="F10" s="3" t="s">
        <v>18</v>
      </c>
      <c r="G10" s="3">
        <v>42.360100000000003</v>
      </c>
      <c r="H10" s="3">
        <v>-71.058899999999994</v>
      </c>
      <c r="I10" s="3" t="s">
        <v>19</v>
      </c>
      <c r="J10" s="3">
        <v>38.907200000000003</v>
      </c>
      <c r="K10" s="3">
        <v>-77.037000000000006</v>
      </c>
      <c r="L10" s="3">
        <v>725</v>
      </c>
      <c r="M10" s="3">
        <v>450</v>
      </c>
      <c r="N10" s="4" t="str">
        <f t="shared" si="0"/>
        <v>Bus</v>
      </c>
      <c r="O10" s="3">
        <v>9</v>
      </c>
      <c r="P10" s="5" t="str">
        <f t="shared" si="1"/>
        <v>short</v>
      </c>
      <c r="Q10" s="5">
        <f t="shared" si="2"/>
        <v>81</v>
      </c>
    </row>
    <row r="11" spans="6:17" x14ac:dyDescent="0.35">
      <c r="F11" s="3" t="s">
        <v>20</v>
      </c>
      <c r="G11" s="3">
        <v>29.760400000000001</v>
      </c>
      <c r="H11" s="3">
        <v>-95.369799999999998</v>
      </c>
      <c r="I11" s="3" t="s">
        <v>21</v>
      </c>
      <c r="J11" s="3">
        <v>39.739199999999997</v>
      </c>
      <c r="K11" s="3">
        <v>-104.9903</v>
      </c>
      <c r="L11" s="3">
        <v>1420</v>
      </c>
      <c r="M11" s="3">
        <v>882</v>
      </c>
      <c r="N11" s="4" t="str">
        <f t="shared" si="0"/>
        <v>car</v>
      </c>
      <c r="O11" s="3">
        <v>2.5</v>
      </c>
      <c r="P11" s="5" t="str">
        <f t="shared" si="1"/>
        <v>far</v>
      </c>
      <c r="Q11" s="5">
        <f t="shared" si="2"/>
        <v>568</v>
      </c>
    </row>
    <row r="12" spans="6:17" x14ac:dyDescent="0.35">
      <c r="F12" s="3" t="s">
        <v>22</v>
      </c>
      <c r="G12" s="3">
        <v>36.169899999999998</v>
      </c>
      <c r="H12" s="3">
        <v>-115.13979999999999</v>
      </c>
      <c r="I12" s="3" t="s">
        <v>23</v>
      </c>
      <c r="J12" s="3">
        <v>36.106900000000003</v>
      </c>
      <c r="K12" s="3">
        <v>-112.1129</v>
      </c>
      <c r="L12" s="3">
        <v>439</v>
      </c>
      <c r="M12" s="3">
        <v>273</v>
      </c>
      <c r="N12" s="4" t="str">
        <f t="shared" si="0"/>
        <v>Bike</v>
      </c>
      <c r="O12" s="3">
        <v>5</v>
      </c>
      <c r="P12" s="5" t="str">
        <f t="shared" si="1"/>
        <v>short</v>
      </c>
      <c r="Q12" s="5">
        <f t="shared" si="2"/>
        <v>88</v>
      </c>
    </row>
    <row r="13" spans="6:17" x14ac:dyDescent="0.35">
      <c r="F13" s="3" t="s">
        <v>24</v>
      </c>
      <c r="G13" s="3">
        <v>33.749000000000002</v>
      </c>
      <c r="H13" s="3">
        <v>-84.388000000000005</v>
      </c>
      <c r="I13" s="3" t="s">
        <v>25</v>
      </c>
      <c r="J13" s="3">
        <v>36.162700000000001</v>
      </c>
      <c r="K13" s="3">
        <v>-86.781599999999997</v>
      </c>
      <c r="L13" s="3">
        <v>379</v>
      </c>
      <c r="M13" s="3">
        <v>236</v>
      </c>
      <c r="N13" s="4" t="str">
        <f t="shared" si="0"/>
        <v>Bike</v>
      </c>
      <c r="O13" s="3">
        <v>4.5</v>
      </c>
      <c r="P13" s="5" t="str">
        <f t="shared" si="1"/>
        <v>short</v>
      </c>
      <c r="Q13" s="5">
        <f t="shared" si="2"/>
        <v>85</v>
      </c>
    </row>
    <row r="14" spans="6:17" x14ac:dyDescent="0.35">
      <c r="F14" s="3" t="s">
        <v>26</v>
      </c>
      <c r="G14" s="3">
        <v>32.776699999999998</v>
      </c>
      <c r="H14" s="3">
        <v>-96.796999999999997</v>
      </c>
      <c r="I14" s="3" t="s">
        <v>27</v>
      </c>
      <c r="J14" s="3">
        <v>29.9511</v>
      </c>
      <c r="K14" s="3">
        <v>-90.0715</v>
      </c>
      <c r="L14" s="3">
        <v>711</v>
      </c>
      <c r="M14" s="3">
        <v>442</v>
      </c>
      <c r="N14" s="4" t="str">
        <f t="shared" si="0"/>
        <v>Bus</v>
      </c>
      <c r="O14" s="3">
        <v>8</v>
      </c>
      <c r="P14" s="5" t="str">
        <f t="shared" si="1"/>
        <v>short</v>
      </c>
      <c r="Q14" s="5">
        <f t="shared" si="2"/>
        <v>89</v>
      </c>
    </row>
    <row r="15" spans="6:17" x14ac:dyDescent="0.35">
      <c r="F15" s="3" t="s">
        <v>28</v>
      </c>
      <c r="G15" s="3">
        <v>32.715699999999998</v>
      </c>
      <c r="H15" s="3">
        <v>-117.1611</v>
      </c>
      <c r="I15" s="3" t="s">
        <v>29</v>
      </c>
      <c r="J15" s="3">
        <v>33.448399999999999</v>
      </c>
      <c r="K15" s="3">
        <v>-112.074</v>
      </c>
      <c r="L15" s="3">
        <v>502</v>
      </c>
      <c r="M15" s="3">
        <v>312</v>
      </c>
      <c r="N15" s="4" t="str">
        <f t="shared" si="0"/>
        <v>Bus</v>
      </c>
      <c r="O15" s="3">
        <v>6</v>
      </c>
      <c r="P15" s="5" t="str">
        <f t="shared" si="1"/>
        <v>short</v>
      </c>
      <c r="Q15" s="5">
        <f t="shared" si="2"/>
        <v>84</v>
      </c>
    </row>
    <row r="16" spans="6:17" x14ac:dyDescent="0.35">
      <c r="F16" s="3" t="s">
        <v>30</v>
      </c>
      <c r="G16" s="3">
        <v>45.505099999999999</v>
      </c>
      <c r="H16" s="3">
        <v>-122.675</v>
      </c>
      <c r="I16" s="3" t="s">
        <v>31</v>
      </c>
      <c r="J16" s="3">
        <v>49.282699999999998</v>
      </c>
      <c r="K16" s="3">
        <v>-123.1207</v>
      </c>
      <c r="L16" s="3">
        <v>510</v>
      </c>
      <c r="M16" s="3">
        <v>317</v>
      </c>
      <c r="N16" s="4" t="str">
        <f t="shared" si="0"/>
        <v>Bus</v>
      </c>
      <c r="O16" s="3">
        <v>10</v>
      </c>
      <c r="P16" s="5" t="str">
        <f t="shared" si="1"/>
        <v>short</v>
      </c>
      <c r="Q16" s="5">
        <f t="shared" si="2"/>
        <v>51</v>
      </c>
    </row>
    <row r="17" spans="6:17" x14ac:dyDescent="0.35">
      <c r="F17" s="3" t="s">
        <v>13</v>
      </c>
      <c r="G17" s="3">
        <v>34.052199999999999</v>
      </c>
      <c r="H17" s="3">
        <v>-118.2437</v>
      </c>
      <c r="I17" s="3" t="s">
        <v>12</v>
      </c>
      <c r="J17" s="3">
        <v>40.712800000000001</v>
      </c>
      <c r="K17" s="3">
        <v>-74.006</v>
      </c>
      <c r="L17" s="3">
        <v>3949</v>
      </c>
      <c r="M17" s="3">
        <v>2454</v>
      </c>
      <c r="N17" s="4" t="str">
        <f t="shared" si="0"/>
        <v>Bullet train</v>
      </c>
      <c r="O17" s="3">
        <v>5.5</v>
      </c>
      <c r="P17" s="5" t="str">
        <f t="shared" si="1"/>
        <v>to-long</v>
      </c>
      <c r="Q17" s="5">
        <f t="shared" si="2"/>
        <v>718</v>
      </c>
    </row>
    <row r="18" spans="6:17" x14ac:dyDescent="0.35">
      <c r="F18" s="3" t="s">
        <v>15</v>
      </c>
      <c r="G18" s="3">
        <v>47.606200000000001</v>
      </c>
      <c r="H18" s="3">
        <v>-122.3321</v>
      </c>
      <c r="I18" s="3" t="s">
        <v>14</v>
      </c>
      <c r="J18" s="3">
        <v>37.774900000000002</v>
      </c>
      <c r="K18" s="3">
        <v>-122.4194</v>
      </c>
      <c r="L18" s="3">
        <v>1307</v>
      </c>
      <c r="M18" s="3">
        <v>813</v>
      </c>
      <c r="N18" s="4" t="str">
        <f t="shared" si="0"/>
        <v>car</v>
      </c>
      <c r="O18" s="3">
        <v>12</v>
      </c>
      <c r="P18" s="5" t="str">
        <f t="shared" si="1"/>
        <v>far</v>
      </c>
      <c r="Q18" s="5">
        <f t="shared" si="2"/>
        <v>109</v>
      </c>
    </row>
    <row r="19" spans="6:17" x14ac:dyDescent="0.35">
      <c r="F19" s="3" t="s">
        <v>17</v>
      </c>
      <c r="G19" s="3">
        <v>25.761700000000001</v>
      </c>
      <c r="H19" s="3">
        <v>-80.191800000000001</v>
      </c>
      <c r="I19" s="3" t="s">
        <v>16</v>
      </c>
      <c r="J19" s="3">
        <v>41.878100000000003</v>
      </c>
      <c r="K19" s="3">
        <v>-87.629800000000003</v>
      </c>
      <c r="L19" s="3">
        <v>2018</v>
      </c>
      <c r="M19" s="3">
        <v>1255</v>
      </c>
      <c r="N19" s="4" t="str">
        <f t="shared" si="0"/>
        <v>Train</v>
      </c>
      <c r="O19" s="3">
        <v>25</v>
      </c>
      <c r="P19" s="5" t="str">
        <f t="shared" si="1"/>
        <v>long</v>
      </c>
      <c r="Q19" s="5">
        <f t="shared" si="2"/>
        <v>81</v>
      </c>
    </row>
    <row r="20" spans="6:17" x14ac:dyDescent="0.35">
      <c r="F20" s="3" t="s">
        <v>19</v>
      </c>
      <c r="G20" s="3">
        <v>38.907200000000003</v>
      </c>
      <c r="H20" s="3">
        <v>-77.037000000000006</v>
      </c>
      <c r="I20" s="3" t="s">
        <v>18</v>
      </c>
      <c r="J20" s="3">
        <v>42.360100000000003</v>
      </c>
      <c r="K20" s="3">
        <v>-71.058899999999994</v>
      </c>
      <c r="L20" s="3">
        <v>725</v>
      </c>
      <c r="M20" s="3">
        <v>450</v>
      </c>
      <c r="N20" s="4" t="str">
        <f t="shared" si="0"/>
        <v>Bus</v>
      </c>
      <c r="O20" s="3">
        <v>9</v>
      </c>
      <c r="P20" s="5" t="str">
        <f t="shared" si="1"/>
        <v>short</v>
      </c>
      <c r="Q20" s="5">
        <f t="shared" si="2"/>
        <v>81</v>
      </c>
    </row>
    <row r="21" spans="6:17" x14ac:dyDescent="0.35">
      <c r="F21" s="3" t="s">
        <v>21</v>
      </c>
      <c r="G21" s="3">
        <v>39.739199999999997</v>
      </c>
      <c r="H21" s="3">
        <v>-104.9903</v>
      </c>
      <c r="I21" s="3" t="s">
        <v>20</v>
      </c>
      <c r="J21" s="3">
        <v>29.760400000000001</v>
      </c>
      <c r="K21" s="3">
        <v>-95.369799999999998</v>
      </c>
      <c r="L21" s="3">
        <v>1420</v>
      </c>
      <c r="M21" s="3">
        <v>882</v>
      </c>
      <c r="N21" s="4" t="str">
        <f t="shared" si="0"/>
        <v>car</v>
      </c>
      <c r="O21" s="3">
        <v>2.5</v>
      </c>
      <c r="P21" s="5" t="str">
        <f t="shared" si="1"/>
        <v>far</v>
      </c>
      <c r="Q21" s="5">
        <f t="shared" si="2"/>
        <v>568</v>
      </c>
    </row>
    <row r="22" spans="6:17" x14ac:dyDescent="0.35">
      <c r="F22" s="3" t="s">
        <v>23</v>
      </c>
      <c r="G22" s="3">
        <v>36.106900000000003</v>
      </c>
      <c r="H22" s="3">
        <v>-112.1129</v>
      </c>
      <c r="I22" s="3" t="s">
        <v>22</v>
      </c>
      <c r="J22" s="3">
        <v>36.169899999999998</v>
      </c>
      <c r="K22" s="3">
        <v>-115.13979999999999</v>
      </c>
      <c r="L22" s="3">
        <v>439</v>
      </c>
      <c r="M22" s="3">
        <v>273</v>
      </c>
      <c r="N22" s="4" t="str">
        <f t="shared" si="0"/>
        <v>Bike</v>
      </c>
      <c r="O22" s="3">
        <v>5</v>
      </c>
      <c r="P22" s="5" t="str">
        <f t="shared" si="1"/>
        <v>short</v>
      </c>
      <c r="Q22" s="5">
        <f t="shared" si="2"/>
        <v>88</v>
      </c>
    </row>
    <row r="23" spans="6:17" x14ac:dyDescent="0.35">
      <c r="F23" s="3" t="s">
        <v>25</v>
      </c>
      <c r="G23" s="3">
        <v>36.162700000000001</v>
      </c>
      <c r="H23" s="3">
        <v>-86.781599999999997</v>
      </c>
      <c r="I23" s="3" t="s">
        <v>24</v>
      </c>
      <c r="J23" s="3">
        <v>33.749000000000002</v>
      </c>
      <c r="K23" s="3">
        <v>-84.388000000000005</v>
      </c>
      <c r="L23" s="3">
        <v>379</v>
      </c>
      <c r="M23" s="3">
        <v>236</v>
      </c>
      <c r="N23" s="4" t="str">
        <f t="shared" si="0"/>
        <v>Bike</v>
      </c>
      <c r="O23" s="3">
        <v>4.5</v>
      </c>
      <c r="P23" s="5" t="str">
        <f t="shared" si="1"/>
        <v>short</v>
      </c>
      <c r="Q23" s="5">
        <f t="shared" si="2"/>
        <v>85</v>
      </c>
    </row>
    <row r="24" spans="6:17" x14ac:dyDescent="0.35">
      <c r="F24" s="3" t="s">
        <v>27</v>
      </c>
      <c r="G24" s="3">
        <v>29.9511</v>
      </c>
      <c r="H24" s="3">
        <v>-90.0715</v>
      </c>
      <c r="I24" s="3" t="s">
        <v>26</v>
      </c>
      <c r="J24" s="3">
        <v>32.776699999999998</v>
      </c>
      <c r="K24" s="3">
        <v>-96.796999999999997</v>
      </c>
      <c r="L24" s="3">
        <v>711</v>
      </c>
      <c r="M24" s="3">
        <v>442</v>
      </c>
      <c r="N24" s="4" t="str">
        <f t="shared" si="0"/>
        <v>Bus</v>
      </c>
      <c r="O24" s="3">
        <v>8</v>
      </c>
      <c r="P24" s="5" t="str">
        <f t="shared" si="1"/>
        <v>short</v>
      </c>
      <c r="Q24" s="5">
        <f t="shared" si="2"/>
        <v>89</v>
      </c>
    </row>
    <row r="25" spans="6:17" x14ac:dyDescent="0.35">
      <c r="F25" s="3" t="s">
        <v>29</v>
      </c>
      <c r="G25" s="3">
        <v>33.448399999999999</v>
      </c>
      <c r="H25" s="3">
        <v>-112.074</v>
      </c>
      <c r="I25" s="3" t="s">
        <v>28</v>
      </c>
      <c r="J25" s="3">
        <v>32.715699999999998</v>
      </c>
      <c r="K25" s="3">
        <v>-117.1611</v>
      </c>
      <c r="L25" s="3">
        <v>502</v>
      </c>
      <c r="M25" s="3">
        <v>312</v>
      </c>
      <c r="N25" s="4" t="str">
        <f t="shared" si="0"/>
        <v>Bus</v>
      </c>
      <c r="O25" s="3">
        <v>6</v>
      </c>
      <c r="P25" s="5" t="str">
        <f t="shared" si="1"/>
        <v>short</v>
      </c>
      <c r="Q25" s="5">
        <f t="shared" si="2"/>
        <v>84</v>
      </c>
    </row>
    <row r="26" spans="6:17" x14ac:dyDescent="0.35">
      <c r="F26" s="3" t="s">
        <v>31</v>
      </c>
      <c r="G26" s="3">
        <v>49.282699999999998</v>
      </c>
      <c r="H26" s="3">
        <v>-123.1207</v>
      </c>
      <c r="I26" s="3" t="s">
        <v>30</v>
      </c>
      <c r="J26" s="3">
        <v>45.505099999999999</v>
      </c>
      <c r="K26" s="3">
        <v>-122.675</v>
      </c>
      <c r="L26" s="3">
        <v>510</v>
      </c>
      <c r="M26" s="3">
        <v>317</v>
      </c>
      <c r="N26" s="4" t="str">
        <f t="shared" si="0"/>
        <v>Bus</v>
      </c>
      <c r="O26" s="3">
        <v>10</v>
      </c>
      <c r="P26" s="5" t="str">
        <f t="shared" si="1"/>
        <v>short</v>
      </c>
      <c r="Q26" s="5">
        <f t="shared" si="2"/>
        <v>51</v>
      </c>
    </row>
    <row r="27" spans="6:17" x14ac:dyDescent="0.35">
      <c r="F27" s="3" t="s">
        <v>14</v>
      </c>
      <c r="G27" s="3">
        <v>37.774900000000002</v>
      </c>
      <c r="H27" s="3">
        <v>-122.4194</v>
      </c>
      <c r="I27" s="3" t="s">
        <v>13</v>
      </c>
      <c r="J27" s="3">
        <v>34.052199999999999</v>
      </c>
      <c r="K27" s="3">
        <v>-118.2437</v>
      </c>
      <c r="L27" s="3">
        <v>615</v>
      </c>
      <c r="M27" s="3">
        <v>382</v>
      </c>
      <c r="N27" s="4" t="str">
        <f t="shared" si="0"/>
        <v>Bus</v>
      </c>
      <c r="O27" s="3">
        <v>1.5</v>
      </c>
      <c r="P27" s="5" t="str">
        <f t="shared" si="1"/>
        <v>short</v>
      </c>
      <c r="Q27" s="5">
        <f t="shared" si="2"/>
        <v>410</v>
      </c>
    </row>
    <row r="28" spans="6:17" x14ac:dyDescent="0.35">
      <c r="F28" s="3" t="s">
        <v>15</v>
      </c>
      <c r="G28" s="3">
        <v>47.606200000000001</v>
      </c>
      <c r="H28" s="3">
        <v>-122.3321</v>
      </c>
      <c r="I28" s="3" t="s">
        <v>30</v>
      </c>
      <c r="J28" s="3">
        <v>45.505099999999999</v>
      </c>
      <c r="K28" s="3">
        <v>-122.675</v>
      </c>
      <c r="L28" s="3">
        <v>279</v>
      </c>
      <c r="M28" s="3">
        <v>173</v>
      </c>
      <c r="N28" s="4" t="str">
        <f t="shared" si="0"/>
        <v>Bike</v>
      </c>
      <c r="O28" s="3">
        <v>4</v>
      </c>
      <c r="P28" s="5" t="str">
        <f t="shared" si="1"/>
        <v>short</v>
      </c>
      <c r="Q28" s="5">
        <f t="shared" si="2"/>
        <v>70</v>
      </c>
    </row>
    <row r="29" spans="6:17" x14ac:dyDescent="0.35">
      <c r="F29" s="3" t="s">
        <v>17</v>
      </c>
      <c r="G29" s="3">
        <v>25.761700000000001</v>
      </c>
      <c r="H29" s="3">
        <v>-80.191800000000001</v>
      </c>
      <c r="I29" s="3" t="s">
        <v>12</v>
      </c>
      <c r="J29" s="3">
        <v>40.712800000000001</v>
      </c>
      <c r="K29" s="3">
        <v>-74.006</v>
      </c>
      <c r="L29" s="3">
        <v>1754</v>
      </c>
      <c r="M29" s="3">
        <v>1091</v>
      </c>
      <c r="N29" s="4" t="str">
        <f t="shared" si="0"/>
        <v>car</v>
      </c>
      <c r="O29" s="3">
        <v>20</v>
      </c>
      <c r="P29" s="5" t="str">
        <f t="shared" si="1"/>
        <v>far</v>
      </c>
      <c r="Q29" s="5">
        <f t="shared" si="2"/>
        <v>88</v>
      </c>
    </row>
    <row r="30" spans="6:17" x14ac:dyDescent="0.35">
      <c r="F30" s="3" t="s">
        <v>19</v>
      </c>
      <c r="G30" s="3">
        <v>38.907200000000003</v>
      </c>
      <c r="H30" s="3">
        <v>-77.037000000000006</v>
      </c>
      <c r="I30" s="3" t="s">
        <v>16</v>
      </c>
      <c r="J30" s="3">
        <v>41.878100000000003</v>
      </c>
      <c r="K30" s="3">
        <v>-87.629800000000003</v>
      </c>
      <c r="L30" s="3">
        <v>925</v>
      </c>
      <c r="M30" s="3">
        <v>574</v>
      </c>
      <c r="N30" s="4" t="str">
        <f t="shared" si="0"/>
        <v>Bus</v>
      </c>
      <c r="O30" s="3">
        <v>14</v>
      </c>
      <c r="P30" s="5" t="str">
        <f t="shared" si="1"/>
        <v>short</v>
      </c>
      <c r="Q30" s="5">
        <f t="shared" si="2"/>
        <v>67</v>
      </c>
    </row>
    <row r="31" spans="6:17" x14ac:dyDescent="0.35">
      <c r="F31" s="3" t="s">
        <v>21</v>
      </c>
      <c r="G31" s="3">
        <v>39.739199999999997</v>
      </c>
      <c r="H31" s="3">
        <v>-104.9903</v>
      </c>
      <c r="I31" s="3" t="s">
        <v>14</v>
      </c>
      <c r="J31" s="3">
        <v>37.774900000000002</v>
      </c>
      <c r="K31" s="3">
        <v>-122.4194</v>
      </c>
      <c r="L31" s="3">
        <v>1643</v>
      </c>
      <c r="M31" s="3">
        <v>1021</v>
      </c>
      <c r="N31" s="4" t="str">
        <f t="shared" si="0"/>
        <v>car</v>
      </c>
      <c r="O31" s="3">
        <v>3</v>
      </c>
      <c r="P31" s="5" t="str">
        <f t="shared" si="1"/>
        <v>far</v>
      </c>
      <c r="Q31" s="5">
        <f t="shared" si="2"/>
        <v>548</v>
      </c>
    </row>
    <row r="32" spans="6:17" x14ac:dyDescent="0.35">
      <c r="F32" s="3" t="s">
        <v>23</v>
      </c>
      <c r="G32" s="3">
        <v>36.106900000000003</v>
      </c>
      <c r="H32" s="3">
        <v>-112.1129</v>
      </c>
      <c r="I32" s="3" t="s">
        <v>22</v>
      </c>
      <c r="J32" s="3">
        <v>36.169899999999998</v>
      </c>
      <c r="K32" s="3">
        <v>-115.13979999999999</v>
      </c>
      <c r="L32" s="3">
        <v>439</v>
      </c>
      <c r="M32" s="3">
        <v>273</v>
      </c>
      <c r="N32" s="4" t="str">
        <f t="shared" si="0"/>
        <v>Bike</v>
      </c>
      <c r="O32" s="3">
        <v>5</v>
      </c>
      <c r="P32" s="5" t="str">
        <f t="shared" si="1"/>
        <v>short</v>
      </c>
      <c r="Q32" s="5">
        <f t="shared" si="2"/>
        <v>88</v>
      </c>
    </row>
    <row r="33" spans="6:17" x14ac:dyDescent="0.35">
      <c r="F33" s="3" t="s">
        <v>25</v>
      </c>
      <c r="G33" s="3">
        <v>36.162700000000001</v>
      </c>
      <c r="H33" s="3">
        <v>-86.781599999999997</v>
      </c>
      <c r="I33" s="3" t="s">
        <v>24</v>
      </c>
      <c r="J33" s="3">
        <v>33.749000000000002</v>
      </c>
      <c r="K33" s="3">
        <v>-84.388000000000005</v>
      </c>
      <c r="L33" s="3">
        <v>379</v>
      </c>
      <c r="M33" s="3">
        <v>236</v>
      </c>
      <c r="N33" s="4" t="str">
        <f t="shared" si="0"/>
        <v>Bike</v>
      </c>
      <c r="O33" s="3">
        <v>4.5</v>
      </c>
      <c r="P33" s="5" t="str">
        <f t="shared" si="1"/>
        <v>short</v>
      </c>
      <c r="Q33" s="5">
        <f t="shared" si="2"/>
        <v>85</v>
      </c>
    </row>
    <row r="34" spans="6:17" x14ac:dyDescent="0.35">
      <c r="F34" s="3" t="s">
        <v>26</v>
      </c>
      <c r="G34" s="3">
        <v>32.776699999999998</v>
      </c>
      <c r="H34" s="3">
        <v>-96.796999999999997</v>
      </c>
      <c r="I34" s="3" t="s">
        <v>27</v>
      </c>
      <c r="J34" s="3">
        <v>29.9511</v>
      </c>
      <c r="K34" s="3">
        <v>-90.0715</v>
      </c>
      <c r="L34" s="3">
        <v>711</v>
      </c>
      <c r="M34" s="3">
        <v>442</v>
      </c>
      <c r="N34" s="4" t="str">
        <f t="shared" si="0"/>
        <v>Bus</v>
      </c>
      <c r="O34" s="3">
        <v>8</v>
      </c>
      <c r="P34" s="5" t="str">
        <f t="shared" si="1"/>
        <v>short</v>
      </c>
      <c r="Q34" s="5">
        <f t="shared" si="2"/>
        <v>89</v>
      </c>
    </row>
    <row r="35" spans="6:17" x14ac:dyDescent="0.35">
      <c r="F35" s="3" t="s">
        <v>28</v>
      </c>
      <c r="G35" s="3">
        <v>32.715699999999998</v>
      </c>
      <c r="H35" s="3">
        <v>-117.1611</v>
      </c>
      <c r="I35" s="3" t="s">
        <v>29</v>
      </c>
      <c r="J35" s="3">
        <v>33.448399999999999</v>
      </c>
      <c r="K35" s="3">
        <v>-112.074</v>
      </c>
      <c r="L35" s="3">
        <v>502</v>
      </c>
      <c r="M35" s="3">
        <v>312</v>
      </c>
      <c r="N35" s="4" t="str">
        <f t="shared" si="0"/>
        <v>Bus</v>
      </c>
      <c r="O35" s="3">
        <v>6</v>
      </c>
      <c r="P35" s="5" t="str">
        <f t="shared" si="1"/>
        <v>short</v>
      </c>
      <c r="Q35" s="5">
        <f t="shared" si="2"/>
        <v>84</v>
      </c>
    </row>
    <row r="36" spans="6:17" x14ac:dyDescent="0.35">
      <c r="F36" s="3" t="s">
        <v>30</v>
      </c>
      <c r="G36" s="3">
        <v>45.505099999999999</v>
      </c>
      <c r="H36" s="3">
        <v>-122.675</v>
      </c>
      <c r="I36" s="3" t="s">
        <v>31</v>
      </c>
      <c r="J36" s="3">
        <v>49.282699999999998</v>
      </c>
      <c r="K36" s="3">
        <v>-123.1207</v>
      </c>
      <c r="L36" s="3">
        <v>510</v>
      </c>
      <c r="M36" s="3">
        <v>317</v>
      </c>
      <c r="N36" s="4" t="str">
        <f t="shared" si="0"/>
        <v>Bus</v>
      </c>
      <c r="O36" s="3">
        <v>10</v>
      </c>
      <c r="P36" s="5" t="str">
        <f t="shared" si="1"/>
        <v>short</v>
      </c>
      <c r="Q36" s="5">
        <f t="shared" si="2"/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sutharsanan G</dc:creator>
  <cp:lastModifiedBy>sutharsanan G</cp:lastModifiedBy>
  <dcterms:created xsi:type="dcterms:W3CDTF">2025-10-22T01:52:12Z</dcterms:created>
  <dcterms:modified xsi:type="dcterms:W3CDTF">2025-10-22T01:52:58Z</dcterms:modified>
</cp:coreProperties>
</file>